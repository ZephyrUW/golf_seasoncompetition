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Cracken\Documents\PinandCue\Shared\Golf\"/>
    </mc:Choice>
  </mc:AlternateContent>
  <xr:revisionPtr revIDLastSave="0" documentId="13_ncr:1_{2E3EDBB8-9284-49C8-8199-D107879A85F4}" xr6:coauthVersionLast="47" xr6:coauthVersionMax="47" xr10:uidLastSave="{00000000-0000-0000-0000-000000000000}"/>
  <bookViews>
    <workbookView xWindow="-98" yWindow="-98" windowWidth="20715" windowHeight="13276" tabRatio="749" firstSheet="1" activeTab="2" xr2:uid="{00000000-000D-0000-FFFF-FFFF00000000}"/>
  </bookViews>
  <sheets>
    <sheet name="Rankings" sheetId="4" r:id="rId1"/>
    <sheet name="Entries" sheetId="1" r:id="rId2"/>
    <sheet name="Leaderboard" sheetId="13" r:id="rId3"/>
    <sheet name="-----&gt;" sheetId="10" r:id="rId4"/>
    <sheet name="Entry Form" sheetId="9" r:id="rId5"/>
    <sheet name="--Information--" sheetId="11" r:id="rId6"/>
    <sheet name="--Reference--&gt;" sheetId="16" r:id="rId7"/>
    <sheet name="Vegas Odds" sheetId="15" r:id="rId8"/>
    <sheet name="Current Tournament" sheetId="19" r:id="rId9"/>
    <sheet name="PGA Schedule" sheetId="20" r:id="rId10"/>
    <sheet name="Python_Leaderboard" sheetId="17" r:id="rId11"/>
    <sheet name="Golfer Name Sheet" sheetId="3" r:id="rId12"/>
  </sheets>
  <definedNames>
    <definedName name="Col24Combined">'Golfer Name Sheet'!$G$2:$G$64</definedName>
    <definedName name="EntryCount">'--Reference--&gt;'!$B$3</definedName>
    <definedName name="EntryFee">'--Reference--&gt;'!$B$5</definedName>
    <definedName name="ExternalData_1" localSheetId="8" hidden="1">'Current Tournament'!$A$1:$E$2</definedName>
    <definedName name="ExternalData_1" localSheetId="2" hidden="1">Leaderboard!$A$1:$I$145</definedName>
    <definedName name="ExternalData_1" localSheetId="9" hidden="1">'PGA Schedule'!$A$1:$E$48</definedName>
    <definedName name="ExternalData_1" localSheetId="7" hidden="1">'Vegas Odds'!$A$1:$B$183</definedName>
    <definedName name="FinalScore">The_Open[Final Score]</definedName>
    <definedName name="GolferName">The_Open[Golfer Name]</definedName>
    <definedName name="PayoutCount">'--Reference--&gt;'!$B$4</definedName>
    <definedName name="PayoutTable">'--Reference--&gt;'!$F$4:$P$13</definedName>
    <definedName name="PickCol1">'Golfer Name Sheet'!$A$2:$A$28</definedName>
    <definedName name="PickCol2">'Golfer Name Sheet'!$C$2:$C$28</definedName>
    <definedName name="PickCol3">'Golfer Name Sheet'!$D$2:$D$28</definedName>
    <definedName name="PickCol4">'Golfer Name Sheet'!$E$2:$E$27</definedName>
    <definedName name="PlayoffOption">Leaderboard!$S$2</definedName>
    <definedName name="_xlnm.Print_Area" localSheetId="4">'Entry Form'!$A$1:$Z$42</definedName>
    <definedName name="_xlnm.Print_Area" localSheetId="0">Rankings!$A$1:$H$9</definedName>
    <definedName name="RoundOverride">'--Reference--&gt;'!$T$7:$T$10</definedName>
  </definedNames>
  <calcPr calcId="181029"/>
  <pivotCaches>
    <pivotCache cacheId="3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3" l="1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M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L3" i="1" l="1"/>
  <c r="H98" i="1"/>
  <c r="H90" i="1"/>
  <c r="H82" i="1"/>
  <c r="H74" i="1"/>
  <c r="H66" i="1"/>
  <c r="H58" i="1"/>
  <c r="H50" i="1"/>
  <c r="H42" i="1"/>
  <c r="H34" i="1"/>
  <c r="H26" i="1"/>
  <c r="H18" i="1"/>
  <c r="H10" i="1"/>
  <c r="I102" i="1"/>
  <c r="I94" i="1"/>
  <c r="I86" i="1"/>
  <c r="I78" i="1"/>
  <c r="I70" i="1"/>
  <c r="I62" i="1"/>
  <c r="I54" i="1"/>
  <c r="I46" i="1"/>
  <c r="I38" i="1"/>
  <c r="I30" i="1"/>
  <c r="I22" i="1"/>
  <c r="I14" i="1"/>
  <c r="I6" i="1"/>
  <c r="J98" i="1"/>
  <c r="J90" i="1"/>
  <c r="J82" i="1"/>
  <c r="J74" i="1"/>
  <c r="J66" i="1"/>
  <c r="J58" i="1"/>
  <c r="J50" i="1"/>
  <c r="J42" i="1"/>
  <c r="J34" i="1"/>
  <c r="J26" i="1"/>
  <c r="J18" i="1"/>
  <c r="J10" i="1"/>
  <c r="K102" i="1"/>
  <c r="K94" i="1"/>
  <c r="K86" i="1"/>
  <c r="K78" i="1"/>
  <c r="K70" i="1"/>
  <c r="K62" i="1"/>
  <c r="K54" i="1"/>
  <c r="K46" i="1"/>
  <c r="K38" i="1"/>
  <c r="K30" i="1"/>
  <c r="K22" i="1"/>
  <c r="K14" i="1"/>
  <c r="K6" i="1"/>
  <c r="L98" i="1"/>
  <c r="L90" i="1"/>
  <c r="L82" i="1"/>
  <c r="L74" i="1"/>
  <c r="L66" i="1"/>
  <c r="L58" i="1"/>
  <c r="L50" i="1"/>
  <c r="L42" i="1"/>
  <c r="L34" i="1"/>
  <c r="L26" i="1"/>
  <c r="L18" i="1"/>
  <c r="L10" i="1"/>
  <c r="H97" i="1"/>
  <c r="H89" i="1"/>
  <c r="H81" i="1"/>
  <c r="H73" i="1"/>
  <c r="H65" i="1"/>
  <c r="H57" i="1"/>
  <c r="H49" i="1"/>
  <c r="H41" i="1"/>
  <c r="H33" i="1"/>
  <c r="H25" i="1"/>
  <c r="H17" i="1"/>
  <c r="H9" i="1"/>
  <c r="I101" i="1"/>
  <c r="I93" i="1"/>
  <c r="I85" i="1"/>
  <c r="I77" i="1"/>
  <c r="I69" i="1"/>
  <c r="I61" i="1"/>
  <c r="I53" i="1"/>
  <c r="I45" i="1"/>
  <c r="I37" i="1"/>
  <c r="I29" i="1"/>
  <c r="I21" i="1"/>
  <c r="I13" i="1"/>
  <c r="I5" i="1"/>
  <c r="J97" i="1"/>
  <c r="J89" i="1"/>
  <c r="J81" i="1"/>
  <c r="J73" i="1"/>
  <c r="J65" i="1"/>
  <c r="J57" i="1"/>
  <c r="J49" i="1"/>
  <c r="J41" i="1"/>
  <c r="J33" i="1"/>
  <c r="J25" i="1"/>
  <c r="J17" i="1"/>
  <c r="J9" i="1"/>
  <c r="K101" i="1"/>
  <c r="K93" i="1"/>
  <c r="K85" i="1"/>
  <c r="K77" i="1"/>
  <c r="K69" i="1"/>
  <c r="K61" i="1"/>
  <c r="K53" i="1"/>
  <c r="K45" i="1"/>
  <c r="K37" i="1"/>
  <c r="K29" i="1"/>
  <c r="K21" i="1"/>
  <c r="K13" i="1"/>
  <c r="K5" i="1"/>
  <c r="L97" i="1"/>
  <c r="L89" i="1"/>
  <c r="L81" i="1"/>
  <c r="L73" i="1"/>
  <c r="L65" i="1"/>
  <c r="L57" i="1"/>
  <c r="L49" i="1"/>
  <c r="L41" i="1"/>
  <c r="L33" i="1"/>
  <c r="L25" i="1"/>
  <c r="L17" i="1"/>
  <c r="L9" i="1"/>
  <c r="H96" i="1"/>
  <c r="H88" i="1"/>
  <c r="H80" i="1"/>
  <c r="H72" i="1"/>
  <c r="H64" i="1"/>
  <c r="H56" i="1"/>
  <c r="H48" i="1"/>
  <c r="H40" i="1"/>
  <c r="H32" i="1"/>
  <c r="H24" i="1"/>
  <c r="H16" i="1"/>
  <c r="H8" i="1"/>
  <c r="I100" i="1"/>
  <c r="I92" i="1"/>
  <c r="I84" i="1"/>
  <c r="I76" i="1"/>
  <c r="I68" i="1"/>
  <c r="I60" i="1"/>
  <c r="I52" i="1"/>
  <c r="I44" i="1"/>
  <c r="I36" i="1"/>
  <c r="I28" i="1"/>
  <c r="I20" i="1"/>
  <c r="I12" i="1"/>
  <c r="I4" i="1"/>
  <c r="J96" i="1"/>
  <c r="J88" i="1"/>
  <c r="J80" i="1"/>
  <c r="J72" i="1"/>
  <c r="J64" i="1"/>
  <c r="J56" i="1"/>
  <c r="J48" i="1"/>
  <c r="J40" i="1"/>
  <c r="J32" i="1"/>
  <c r="J24" i="1"/>
  <c r="J16" i="1"/>
  <c r="J8" i="1"/>
  <c r="K100" i="1"/>
  <c r="K92" i="1"/>
  <c r="K84" i="1"/>
  <c r="K76" i="1"/>
  <c r="K68" i="1"/>
  <c r="K60" i="1"/>
  <c r="K52" i="1"/>
  <c r="K44" i="1"/>
  <c r="K36" i="1"/>
  <c r="K28" i="1"/>
  <c r="K20" i="1"/>
  <c r="K12" i="1"/>
  <c r="K4" i="1"/>
  <c r="L96" i="1"/>
  <c r="L88" i="1"/>
  <c r="L80" i="1"/>
  <c r="L72" i="1"/>
  <c r="L64" i="1"/>
  <c r="L56" i="1"/>
  <c r="L48" i="1"/>
  <c r="L40" i="1"/>
  <c r="L32" i="1"/>
  <c r="L24" i="1"/>
  <c r="L16" i="1"/>
  <c r="L8" i="1"/>
  <c r="H95" i="1"/>
  <c r="H87" i="1"/>
  <c r="H79" i="1"/>
  <c r="H71" i="1"/>
  <c r="H63" i="1"/>
  <c r="H55" i="1"/>
  <c r="H47" i="1"/>
  <c r="H39" i="1"/>
  <c r="H31" i="1"/>
  <c r="H23" i="1"/>
  <c r="H15" i="1"/>
  <c r="H7" i="1"/>
  <c r="I99" i="1"/>
  <c r="I91" i="1"/>
  <c r="I83" i="1"/>
  <c r="I75" i="1"/>
  <c r="I67" i="1"/>
  <c r="I59" i="1"/>
  <c r="I51" i="1"/>
  <c r="I43" i="1"/>
  <c r="I35" i="1"/>
  <c r="I27" i="1"/>
  <c r="I19" i="1"/>
  <c r="I11" i="1"/>
  <c r="I3" i="1"/>
  <c r="J95" i="1"/>
  <c r="J87" i="1"/>
  <c r="J79" i="1"/>
  <c r="J71" i="1"/>
  <c r="J63" i="1"/>
  <c r="J55" i="1"/>
  <c r="J47" i="1"/>
  <c r="J39" i="1"/>
  <c r="J31" i="1"/>
  <c r="J23" i="1"/>
  <c r="J15" i="1"/>
  <c r="J7" i="1"/>
  <c r="K99" i="1"/>
  <c r="K91" i="1"/>
  <c r="K83" i="1"/>
  <c r="K75" i="1"/>
  <c r="K67" i="1"/>
  <c r="K59" i="1"/>
  <c r="K51" i="1"/>
  <c r="K43" i="1"/>
  <c r="K35" i="1"/>
  <c r="K27" i="1"/>
  <c r="K19" i="1"/>
  <c r="K11" i="1"/>
  <c r="K3" i="1"/>
  <c r="L95" i="1"/>
  <c r="L87" i="1"/>
  <c r="L79" i="1"/>
  <c r="L71" i="1"/>
  <c r="L63" i="1"/>
  <c r="L55" i="1"/>
  <c r="L47" i="1"/>
  <c r="L39" i="1"/>
  <c r="L31" i="1"/>
  <c r="L23" i="1"/>
  <c r="L15" i="1"/>
  <c r="L7" i="1"/>
  <c r="H102" i="1"/>
  <c r="H94" i="1"/>
  <c r="H86" i="1"/>
  <c r="H78" i="1"/>
  <c r="H70" i="1"/>
  <c r="H62" i="1"/>
  <c r="H54" i="1"/>
  <c r="H46" i="1"/>
  <c r="H38" i="1"/>
  <c r="H30" i="1"/>
  <c r="H22" i="1"/>
  <c r="H14" i="1"/>
  <c r="H6" i="1"/>
  <c r="I98" i="1"/>
  <c r="I90" i="1"/>
  <c r="I82" i="1"/>
  <c r="I74" i="1"/>
  <c r="I66" i="1"/>
  <c r="I58" i="1"/>
  <c r="I50" i="1"/>
  <c r="I42" i="1"/>
  <c r="I34" i="1"/>
  <c r="I26" i="1"/>
  <c r="I18" i="1"/>
  <c r="I10" i="1"/>
  <c r="J102" i="1"/>
  <c r="J94" i="1"/>
  <c r="J86" i="1"/>
  <c r="J78" i="1"/>
  <c r="J70" i="1"/>
  <c r="J62" i="1"/>
  <c r="J54" i="1"/>
  <c r="J46" i="1"/>
  <c r="J38" i="1"/>
  <c r="J30" i="1"/>
  <c r="J22" i="1"/>
  <c r="J14" i="1"/>
  <c r="J6" i="1"/>
  <c r="K98" i="1"/>
  <c r="K90" i="1"/>
  <c r="K82" i="1"/>
  <c r="K74" i="1"/>
  <c r="K66" i="1"/>
  <c r="K58" i="1"/>
  <c r="K50" i="1"/>
  <c r="K42" i="1"/>
  <c r="K34" i="1"/>
  <c r="K26" i="1"/>
  <c r="K18" i="1"/>
  <c r="K10" i="1"/>
  <c r="L102" i="1"/>
  <c r="L94" i="1"/>
  <c r="L86" i="1"/>
  <c r="L78" i="1"/>
  <c r="L70" i="1"/>
  <c r="L62" i="1"/>
  <c r="L54" i="1"/>
  <c r="L46" i="1"/>
  <c r="L38" i="1"/>
  <c r="L30" i="1"/>
  <c r="L22" i="1"/>
  <c r="L14" i="1"/>
  <c r="L6" i="1"/>
  <c r="H101" i="1"/>
  <c r="H93" i="1"/>
  <c r="H85" i="1"/>
  <c r="H77" i="1"/>
  <c r="H69" i="1"/>
  <c r="H61" i="1"/>
  <c r="H53" i="1"/>
  <c r="H45" i="1"/>
  <c r="H37" i="1"/>
  <c r="H29" i="1"/>
  <c r="H21" i="1"/>
  <c r="H13" i="1"/>
  <c r="H5" i="1"/>
  <c r="I97" i="1"/>
  <c r="I89" i="1"/>
  <c r="I81" i="1"/>
  <c r="I73" i="1"/>
  <c r="I65" i="1"/>
  <c r="I57" i="1"/>
  <c r="I49" i="1"/>
  <c r="I41" i="1"/>
  <c r="I33" i="1"/>
  <c r="I25" i="1"/>
  <c r="I17" i="1"/>
  <c r="I9" i="1"/>
  <c r="J101" i="1"/>
  <c r="J93" i="1"/>
  <c r="J85" i="1"/>
  <c r="J77" i="1"/>
  <c r="J69" i="1"/>
  <c r="J61" i="1"/>
  <c r="J53" i="1"/>
  <c r="J45" i="1"/>
  <c r="J37" i="1"/>
  <c r="J29" i="1"/>
  <c r="J21" i="1"/>
  <c r="J13" i="1"/>
  <c r="J5" i="1"/>
  <c r="K97" i="1"/>
  <c r="K89" i="1"/>
  <c r="K81" i="1"/>
  <c r="K73" i="1"/>
  <c r="K65" i="1"/>
  <c r="K57" i="1"/>
  <c r="K49" i="1"/>
  <c r="K41" i="1"/>
  <c r="K33" i="1"/>
  <c r="K25" i="1"/>
  <c r="K17" i="1"/>
  <c r="K9" i="1"/>
  <c r="L101" i="1"/>
  <c r="L93" i="1"/>
  <c r="L85" i="1"/>
  <c r="L77" i="1"/>
  <c r="L69" i="1"/>
  <c r="L61" i="1"/>
  <c r="L53" i="1"/>
  <c r="L45" i="1"/>
  <c r="L37" i="1"/>
  <c r="L29" i="1"/>
  <c r="L21" i="1"/>
  <c r="L13" i="1"/>
  <c r="L5" i="1"/>
  <c r="H100" i="1"/>
  <c r="H92" i="1"/>
  <c r="H84" i="1"/>
  <c r="H76" i="1"/>
  <c r="H68" i="1"/>
  <c r="H60" i="1"/>
  <c r="H52" i="1"/>
  <c r="H44" i="1"/>
  <c r="H36" i="1"/>
  <c r="H28" i="1"/>
  <c r="H20" i="1"/>
  <c r="H12" i="1"/>
  <c r="H4" i="1"/>
  <c r="I96" i="1"/>
  <c r="I88" i="1"/>
  <c r="I80" i="1"/>
  <c r="I72" i="1"/>
  <c r="I64" i="1"/>
  <c r="I56" i="1"/>
  <c r="I48" i="1"/>
  <c r="I40" i="1"/>
  <c r="I32" i="1"/>
  <c r="I24" i="1"/>
  <c r="I16" i="1"/>
  <c r="I8" i="1"/>
  <c r="J100" i="1"/>
  <c r="J92" i="1"/>
  <c r="J84" i="1"/>
  <c r="J76" i="1"/>
  <c r="J68" i="1"/>
  <c r="J60" i="1"/>
  <c r="J52" i="1"/>
  <c r="J44" i="1"/>
  <c r="J36" i="1"/>
  <c r="J28" i="1"/>
  <c r="J20" i="1"/>
  <c r="J12" i="1"/>
  <c r="J4" i="1"/>
  <c r="K96" i="1"/>
  <c r="K88" i="1"/>
  <c r="K80" i="1"/>
  <c r="K72" i="1"/>
  <c r="K64" i="1"/>
  <c r="K56" i="1"/>
  <c r="K48" i="1"/>
  <c r="K40" i="1"/>
  <c r="K32" i="1"/>
  <c r="K24" i="1"/>
  <c r="K16" i="1"/>
  <c r="K8" i="1"/>
  <c r="L100" i="1"/>
  <c r="L92" i="1"/>
  <c r="L84" i="1"/>
  <c r="L76" i="1"/>
  <c r="L68" i="1"/>
  <c r="L60" i="1"/>
  <c r="L52" i="1"/>
  <c r="L44" i="1"/>
  <c r="L36" i="1"/>
  <c r="L28" i="1"/>
  <c r="L20" i="1"/>
  <c r="L12" i="1"/>
  <c r="L4" i="1"/>
  <c r="H99" i="1"/>
  <c r="H91" i="1"/>
  <c r="H83" i="1"/>
  <c r="H75" i="1"/>
  <c r="H67" i="1"/>
  <c r="H59" i="1"/>
  <c r="H51" i="1"/>
  <c r="H43" i="1"/>
  <c r="H35" i="1"/>
  <c r="H27" i="1"/>
  <c r="H19" i="1"/>
  <c r="H11" i="1"/>
  <c r="H3" i="1"/>
  <c r="I95" i="1"/>
  <c r="I87" i="1"/>
  <c r="I79" i="1"/>
  <c r="I71" i="1"/>
  <c r="I63" i="1"/>
  <c r="I55" i="1"/>
  <c r="I47" i="1"/>
  <c r="I39" i="1"/>
  <c r="I31" i="1"/>
  <c r="I23" i="1"/>
  <c r="I15" i="1"/>
  <c r="I7" i="1"/>
  <c r="J99" i="1"/>
  <c r="J91" i="1"/>
  <c r="J83" i="1"/>
  <c r="J75" i="1"/>
  <c r="J67" i="1"/>
  <c r="J59" i="1"/>
  <c r="J51" i="1"/>
  <c r="J43" i="1"/>
  <c r="J35" i="1"/>
  <c r="J27" i="1"/>
  <c r="J19" i="1"/>
  <c r="J11" i="1"/>
  <c r="J3" i="1"/>
  <c r="K95" i="1"/>
  <c r="K87" i="1"/>
  <c r="K79" i="1"/>
  <c r="K71" i="1"/>
  <c r="K63" i="1"/>
  <c r="K55" i="1"/>
  <c r="K47" i="1"/>
  <c r="K39" i="1"/>
  <c r="K31" i="1"/>
  <c r="K23" i="1"/>
  <c r="K15" i="1"/>
  <c r="K7" i="1"/>
  <c r="L99" i="1"/>
  <c r="L91" i="1"/>
  <c r="L83" i="1"/>
  <c r="L75" i="1"/>
  <c r="L67" i="1"/>
  <c r="L59" i="1"/>
  <c r="L51" i="1"/>
  <c r="L43" i="1"/>
  <c r="L35" i="1"/>
  <c r="L27" i="1"/>
  <c r="L19" i="1"/>
  <c r="L11" i="1"/>
  <c r="E19" i="3"/>
  <c r="G61" i="3" s="1"/>
  <c r="E20" i="3"/>
  <c r="G62" i="3" s="1"/>
  <c r="E21" i="3"/>
  <c r="G63" i="3" s="1"/>
  <c r="E22" i="3"/>
  <c r="G64" i="3" s="1"/>
  <c r="D19" i="3"/>
  <c r="G40" i="3" s="1"/>
  <c r="D20" i="3"/>
  <c r="G41" i="3" s="1"/>
  <c r="D21" i="3"/>
  <c r="G42" i="3" s="1"/>
  <c r="D22" i="3"/>
  <c r="G43" i="3" s="1"/>
  <c r="C19" i="3"/>
  <c r="G19" i="3" s="1"/>
  <c r="C20" i="3"/>
  <c r="G20" i="3" s="1"/>
  <c r="C21" i="3"/>
  <c r="G21" i="3" s="1"/>
  <c r="C22" i="3"/>
  <c r="G22" i="3" s="1"/>
  <c r="D1" i="1" l="1"/>
  <c r="E13" i="16" l="1"/>
  <c r="E12" i="16"/>
  <c r="E11" i="16"/>
  <c r="E10" i="16"/>
  <c r="E9" i="16"/>
  <c r="E8" i="16"/>
  <c r="E7" i="16"/>
  <c r="E6" i="16"/>
  <c r="E5" i="16"/>
  <c r="E4" i="16"/>
  <c r="A2" i="9" l="1"/>
  <c r="A1" i="4" l="1"/>
  <c r="B4" i="16" l="1"/>
  <c r="B3" i="16"/>
  <c r="B6" i="16" l="1"/>
  <c r="G13" i="4"/>
  <c r="H13" i="4" s="1"/>
  <c r="H5" i="4"/>
  <c r="G12" i="4"/>
  <c r="H12" i="4" s="1"/>
  <c r="H4" i="4"/>
  <c r="G11" i="4"/>
  <c r="H11" i="4" s="1"/>
  <c r="G7" i="4"/>
  <c r="H7" i="4" s="1"/>
  <c r="G10" i="4"/>
  <c r="H10" i="4" s="1"/>
  <c r="G9" i="4"/>
  <c r="H9" i="4" s="1"/>
  <c r="G6" i="4"/>
  <c r="H6" i="4" s="1"/>
  <c r="G8" i="4"/>
  <c r="H8" i="4" s="1"/>
  <c r="E4" i="3" l="1"/>
  <c r="G46" i="3" s="1"/>
  <c r="E5" i="3"/>
  <c r="G47" i="3" s="1"/>
  <c r="E6" i="3"/>
  <c r="G48" i="3" s="1"/>
  <c r="E7" i="3"/>
  <c r="G49" i="3" s="1"/>
  <c r="E8" i="3"/>
  <c r="G50" i="3" s="1"/>
  <c r="E9" i="3"/>
  <c r="G51" i="3" s="1"/>
  <c r="E10" i="3"/>
  <c r="G52" i="3" s="1"/>
  <c r="E11" i="3"/>
  <c r="G53" i="3" s="1"/>
  <c r="E12" i="3"/>
  <c r="G54" i="3" s="1"/>
  <c r="E13" i="3"/>
  <c r="G55" i="3" s="1"/>
  <c r="E14" i="3"/>
  <c r="G56" i="3" s="1"/>
  <c r="E15" i="3"/>
  <c r="G57" i="3" s="1"/>
  <c r="E16" i="3"/>
  <c r="G58" i="3" s="1"/>
  <c r="E17" i="3"/>
  <c r="G59" i="3" s="1"/>
  <c r="E18" i="3"/>
  <c r="G60" i="3" s="1"/>
  <c r="E3" i="3"/>
  <c r="G45" i="3" s="1"/>
  <c r="D3" i="3"/>
  <c r="G24" i="3" s="1"/>
  <c r="D4" i="3"/>
  <c r="G25" i="3" s="1"/>
  <c r="D5" i="3"/>
  <c r="G26" i="3" s="1"/>
  <c r="D6" i="3"/>
  <c r="G27" i="3" s="1"/>
  <c r="D7" i="3"/>
  <c r="G28" i="3" s="1"/>
  <c r="D8" i="3"/>
  <c r="G29" i="3" s="1"/>
  <c r="D9" i="3"/>
  <c r="G30" i="3" s="1"/>
  <c r="D10" i="3"/>
  <c r="G31" i="3" s="1"/>
  <c r="D11" i="3"/>
  <c r="G32" i="3" s="1"/>
  <c r="D12" i="3"/>
  <c r="G33" i="3" s="1"/>
  <c r="D13" i="3"/>
  <c r="G34" i="3" s="1"/>
  <c r="D14" i="3"/>
  <c r="G35" i="3" s="1"/>
  <c r="D15" i="3"/>
  <c r="G36" i="3" s="1"/>
  <c r="D16" i="3"/>
  <c r="G37" i="3" s="1"/>
  <c r="D17" i="3"/>
  <c r="G38" i="3" s="1"/>
  <c r="D18" i="3"/>
  <c r="G39" i="3" s="1"/>
  <c r="D2" i="3"/>
  <c r="G23" i="3" s="1"/>
  <c r="C3" i="3"/>
  <c r="G3" i="3" s="1"/>
  <c r="C4" i="3"/>
  <c r="G4" i="3" s="1"/>
  <c r="C5" i="3"/>
  <c r="G5" i="3" s="1"/>
  <c r="C6" i="3"/>
  <c r="G6" i="3" s="1"/>
  <c r="C7" i="3"/>
  <c r="G7" i="3" s="1"/>
  <c r="C8" i="3"/>
  <c r="G8" i="3" s="1"/>
  <c r="C9" i="3"/>
  <c r="G9" i="3" s="1"/>
  <c r="C10" i="3"/>
  <c r="G10" i="3" s="1"/>
  <c r="C11" i="3"/>
  <c r="G11" i="3" s="1"/>
  <c r="C12" i="3"/>
  <c r="G12" i="3" s="1"/>
  <c r="C13" i="3"/>
  <c r="G13" i="3" s="1"/>
  <c r="C14" i="3"/>
  <c r="G14" i="3" s="1"/>
  <c r="C15" i="3"/>
  <c r="G15" i="3" s="1"/>
  <c r="C16" i="3"/>
  <c r="G16" i="3" s="1"/>
  <c r="C17" i="3"/>
  <c r="G17" i="3" s="1"/>
  <c r="C18" i="3"/>
  <c r="G18" i="3" s="1"/>
  <c r="E2" i="3" l="1"/>
  <c r="G44" i="3" s="1"/>
  <c r="C2" i="3"/>
  <c r="G2" i="3" s="1"/>
  <c r="A21" i="3"/>
  <c r="A22" i="3"/>
  <c r="A19" i="3"/>
  <c r="A2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2" i="3"/>
  <c r="E50" i="4" l="1"/>
  <c r="Q35" i="1" l="1"/>
  <c r="Q59" i="1" l="1"/>
  <c r="Q11" i="1"/>
  <c r="Q10" i="1"/>
  <c r="Q51" i="1"/>
  <c r="Q27" i="1"/>
  <c r="Q43" i="1"/>
  <c r="Q19" i="1"/>
  <c r="Q23" i="1"/>
  <c r="Q15" i="1"/>
  <c r="Q7" i="1"/>
  <c r="Q63" i="1"/>
  <c r="Q39" i="1"/>
  <c r="Q47" i="1"/>
  <c r="Q31" i="1"/>
  <c r="Q28" i="1"/>
  <c r="Q24" i="1"/>
  <c r="Q20" i="1"/>
  <c r="Q12" i="1"/>
  <c r="Q8" i="1"/>
  <c r="Q4" i="1"/>
  <c r="Q100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0" i="1"/>
  <c r="Q36" i="1"/>
  <c r="Q32" i="1"/>
  <c r="Q99" i="1"/>
  <c r="Q91" i="1"/>
  <c r="Q83" i="1"/>
  <c r="Q75" i="1"/>
  <c r="Q67" i="1"/>
  <c r="Q102" i="1"/>
  <c r="Q98" i="1"/>
  <c r="Q94" i="1"/>
  <c r="Q90" i="1"/>
  <c r="Q86" i="1"/>
  <c r="Q78" i="1"/>
  <c r="Q74" i="1"/>
  <c r="Q70" i="1"/>
  <c r="Q66" i="1"/>
  <c r="Q62" i="1"/>
  <c r="Q58" i="1"/>
  <c r="Q54" i="1"/>
  <c r="Q50" i="1"/>
  <c r="Q42" i="1"/>
  <c r="Q38" i="1"/>
  <c r="Q34" i="1"/>
  <c r="Q30" i="1"/>
  <c r="Q26" i="1"/>
  <c r="Q22" i="1"/>
  <c r="Q18" i="1"/>
  <c r="Q6" i="1"/>
  <c r="Q95" i="1"/>
  <c r="Q87" i="1"/>
  <c r="Q79" i="1"/>
  <c r="Q71" i="1"/>
  <c r="Q101" i="1"/>
  <c r="Q93" i="1"/>
  <c r="Q89" i="1"/>
  <c r="Q85" i="1"/>
  <c r="Q81" i="1"/>
  <c r="Q77" i="1"/>
  <c r="Q73" i="1"/>
  <c r="Q69" i="1"/>
  <c r="Q65" i="1"/>
  <c r="Q57" i="1"/>
  <c r="Q53" i="1"/>
  <c r="Q45" i="1"/>
  <c r="Q41" i="1"/>
  <c r="Q37" i="1"/>
  <c r="Q33" i="1"/>
  <c r="Q29" i="1"/>
  <c r="Q25" i="1"/>
  <c r="Q21" i="1"/>
  <c r="Q17" i="1"/>
  <c r="Q13" i="1"/>
  <c r="Q5" i="1"/>
  <c r="Q16" i="1"/>
  <c r="Q9" i="1"/>
  <c r="Q14" i="1"/>
  <c r="Q49" i="1"/>
  <c r="Q55" i="1"/>
  <c r="Q46" i="1"/>
  <c r="Q82" i="1"/>
  <c r="Q44" i="1"/>
  <c r="Q61" i="1"/>
  <c r="Q97" i="1"/>
  <c r="Q3" i="1"/>
  <c r="M12" i="1"/>
  <c r="M98" i="1"/>
  <c r="M90" i="1"/>
  <c r="M82" i="1"/>
  <c r="M74" i="1"/>
  <c r="M66" i="1"/>
  <c r="M58" i="1"/>
  <c r="M50" i="1"/>
  <c r="M42" i="1"/>
  <c r="M34" i="1"/>
  <c r="M26" i="1"/>
  <c r="M18" i="1"/>
  <c r="M10" i="1"/>
  <c r="M102" i="1"/>
  <c r="M94" i="1"/>
  <c r="M86" i="1"/>
  <c r="M78" i="1"/>
  <c r="M70" i="1"/>
  <c r="M62" i="1"/>
  <c r="M54" i="1"/>
  <c r="M46" i="1"/>
  <c r="M38" i="1"/>
  <c r="M30" i="1"/>
  <c r="M22" i="1"/>
  <c r="M14" i="1"/>
  <c r="M100" i="1"/>
  <c r="M92" i="1"/>
  <c r="M84" i="1"/>
  <c r="M76" i="1"/>
  <c r="M68" i="1"/>
  <c r="M60" i="1"/>
  <c r="M52" i="1"/>
  <c r="M44" i="1"/>
  <c r="M36" i="1"/>
  <c r="M28" i="1"/>
  <c r="M20" i="1"/>
  <c r="M96" i="1"/>
  <c r="M88" i="1"/>
  <c r="M80" i="1"/>
  <c r="M72" i="1"/>
  <c r="M64" i="1"/>
  <c r="M56" i="1"/>
  <c r="M48" i="1"/>
  <c r="M40" i="1"/>
  <c r="M32" i="1"/>
  <c r="M24" i="1"/>
  <c r="M16" i="1"/>
  <c r="M8" i="1"/>
  <c r="M6" i="1"/>
  <c r="M81" i="1"/>
  <c r="M49" i="1"/>
  <c r="M17" i="1"/>
  <c r="M79" i="1"/>
  <c r="M47" i="1"/>
  <c r="M15" i="1"/>
  <c r="M85" i="1"/>
  <c r="M53" i="1"/>
  <c r="M21" i="1"/>
  <c r="M91" i="1"/>
  <c r="M59" i="1"/>
  <c r="M27" i="1"/>
  <c r="M51" i="1"/>
  <c r="M33" i="1"/>
  <c r="M31" i="1"/>
  <c r="M37" i="1"/>
  <c r="M43" i="1"/>
  <c r="M89" i="1"/>
  <c r="M87" i="1"/>
  <c r="M93" i="1"/>
  <c r="M99" i="1"/>
  <c r="M3" i="1"/>
  <c r="M4" i="1"/>
  <c r="M73" i="1"/>
  <c r="M41" i="1"/>
  <c r="M9" i="1"/>
  <c r="M71" i="1"/>
  <c r="M39" i="1"/>
  <c r="M7" i="1"/>
  <c r="M77" i="1"/>
  <c r="M45" i="1"/>
  <c r="M13" i="1"/>
  <c r="M83" i="1"/>
  <c r="M19" i="1"/>
  <c r="M95" i="1"/>
  <c r="M101" i="1"/>
  <c r="M5" i="1"/>
  <c r="M11" i="1"/>
  <c r="M25" i="1"/>
  <c r="M23" i="1"/>
  <c r="M61" i="1"/>
  <c r="M67" i="1"/>
  <c r="M97" i="1"/>
  <c r="M65" i="1"/>
  <c r="M63" i="1"/>
  <c r="M69" i="1"/>
  <c r="M75" i="1"/>
  <c r="M57" i="1"/>
  <c r="M55" i="1"/>
  <c r="M29" i="1"/>
  <c r="M35" i="1"/>
  <c r="P41" i="1" l="1"/>
  <c r="P33" i="1"/>
  <c r="P25" i="1"/>
  <c r="P5" i="1"/>
  <c r="P3" i="1"/>
  <c r="P15" i="1"/>
  <c r="P4" i="1"/>
  <c r="P42" i="1"/>
  <c r="P34" i="1"/>
  <c r="P26" i="1"/>
  <c r="P18" i="1"/>
  <c r="P10" i="1"/>
  <c r="P45" i="1"/>
  <c r="P37" i="1"/>
  <c r="P29" i="1"/>
  <c r="P21" i="1"/>
  <c r="P13" i="1"/>
  <c r="P48" i="1"/>
  <c r="P40" i="1"/>
  <c r="P32" i="1"/>
  <c r="P24" i="1"/>
  <c r="P16" i="1"/>
  <c r="P8" i="1"/>
  <c r="P43" i="1"/>
  <c r="P35" i="1"/>
  <c r="P27" i="1"/>
  <c r="P19" i="1"/>
  <c r="P11" i="1"/>
  <c r="P46" i="1"/>
  <c r="P38" i="1"/>
  <c r="P30" i="1"/>
  <c r="P22" i="1"/>
  <c r="P14" i="1"/>
  <c r="P17" i="1"/>
  <c r="P9" i="1"/>
  <c r="P6" i="1"/>
  <c r="P44" i="1"/>
  <c r="P36" i="1"/>
  <c r="P28" i="1"/>
  <c r="P20" i="1"/>
  <c r="P12" i="1"/>
  <c r="P7" i="1"/>
  <c r="P47" i="1"/>
  <c r="P39" i="1"/>
  <c r="P31" i="1"/>
  <c r="P23" i="1"/>
  <c r="N63" i="1" l="1"/>
  <c r="R3" i="1"/>
  <c r="N97" i="1"/>
  <c r="N83" i="1"/>
  <c r="N74" i="1"/>
  <c r="N54" i="1"/>
  <c r="N86" i="1"/>
  <c r="N98" i="1"/>
  <c r="N77" i="1"/>
  <c r="N49" i="1"/>
  <c r="N88" i="1"/>
  <c r="N52" i="1"/>
  <c r="N94" i="1"/>
  <c r="N64" i="1"/>
  <c r="N85" i="1"/>
  <c r="N57" i="1"/>
  <c r="N58" i="1"/>
  <c r="N60" i="1"/>
  <c r="N102" i="1"/>
  <c r="N62" i="1"/>
  <c r="N53" i="1"/>
  <c r="N78" i="1"/>
  <c r="N67" i="1"/>
  <c r="N93" i="1"/>
  <c r="N73" i="1"/>
  <c r="N66" i="1"/>
  <c r="N68" i="1"/>
  <c r="N87" i="1"/>
  <c r="N59" i="1"/>
  <c r="N75" i="1"/>
  <c r="N101" i="1"/>
  <c r="N89" i="1"/>
  <c r="N96" i="1"/>
  <c r="N76" i="1"/>
  <c r="N91" i="1"/>
  <c r="N79" i="1"/>
  <c r="N56" i="1"/>
  <c r="N82" i="1"/>
  <c r="N70" i="1"/>
  <c r="N69" i="1"/>
  <c r="N95" i="1"/>
  <c r="N72" i="1"/>
  <c r="N84" i="1"/>
  <c r="N99" i="1"/>
  <c r="N55" i="1"/>
  <c r="N65" i="1"/>
  <c r="N80" i="1"/>
  <c r="N90" i="1"/>
  <c r="N100" i="1"/>
  <c r="N51" i="1"/>
  <c r="N61" i="1"/>
  <c r="N71" i="1"/>
  <c r="N81" i="1"/>
  <c r="N50" i="1"/>
  <c r="N92" i="1"/>
  <c r="N44" i="1"/>
  <c r="N26" i="1"/>
  <c r="N48" i="1"/>
  <c r="E45" i="4" s="1"/>
  <c r="N47" i="1"/>
  <c r="E43" i="4" s="1"/>
  <c r="N46" i="1"/>
  <c r="N45" i="1"/>
  <c r="N43" i="1"/>
  <c r="E31" i="4" s="1"/>
  <c r="N42" i="1"/>
  <c r="N41" i="1"/>
  <c r="N40" i="1"/>
  <c r="N39" i="1"/>
  <c r="E46" i="4" s="1"/>
  <c r="N38" i="1"/>
  <c r="N37" i="1"/>
  <c r="E42" i="4" s="1"/>
  <c r="N36" i="1"/>
  <c r="E33" i="4" s="1"/>
  <c r="N35" i="1"/>
  <c r="N34" i="1"/>
  <c r="N33" i="1"/>
  <c r="E34" i="4" s="1"/>
  <c r="N32" i="1"/>
  <c r="N31" i="1"/>
  <c r="N30" i="1"/>
  <c r="E40" i="4" s="1"/>
  <c r="N29" i="1"/>
  <c r="E39" i="4" s="1"/>
  <c r="N28" i="1"/>
  <c r="N27" i="1"/>
  <c r="N25" i="1"/>
  <c r="E35" i="4" s="1"/>
  <c r="N24" i="1"/>
  <c r="N23" i="1"/>
  <c r="N22" i="1"/>
  <c r="E49" i="4" s="1"/>
  <c r="N21" i="1"/>
  <c r="E41" i="4" s="1"/>
  <c r="N20" i="1"/>
  <c r="N19" i="1"/>
  <c r="N18" i="1"/>
  <c r="E44" i="4" s="1"/>
  <c r="N17" i="1"/>
  <c r="N16" i="1"/>
  <c r="N15" i="1"/>
  <c r="N14" i="1"/>
  <c r="N9" i="1"/>
  <c r="E47" i="4" s="1"/>
  <c r="N11" i="1"/>
  <c r="E38" i="4" s="1"/>
  <c r="N8" i="1"/>
  <c r="E37" i="4" s="1"/>
  <c r="N7" i="1"/>
  <c r="N12" i="1"/>
  <c r="E36" i="4" s="1"/>
  <c r="N13" i="1"/>
  <c r="E48" i="4" s="1"/>
  <c r="N5" i="1"/>
  <c r="N6" i="1"/>
  <c r="N4" i="1"/>
  <c r="N10" i="1"/>
  <c r="N3" i="1"/>
  <c r="E32" i="4" s="1"/>
  <c r="E22" i="4" l="1"/>
  <c r="E26" i="4"/>
  <c r="E8" i="4"/>
  <c r="E21" i="4"/>
  <c r="E4" i="4"/>
  <c r="E25" i="4"/>
  <c r="E15" i="4"/>
  <c r="E23" i="4"/>
  <c r="E6" i="4"/>
  <c r="E19" i="4"/>
  <c r="E18" i="4"/>
  <c r="E30" i="4"/>
  <c r="E13" i="4"/>
  <c r="E16" i="4"/>
  <c r="E20" i="4"/>
  <c r="E28" i="4"/>
  <c r="E9" i="4"/>
  <c r="E24" i="4"/>
  <c r="E29" i="4"/>
  <c r="E11" i="4"/>
  <c r="E17" i="4"/>
  <c r="E27" i="4"/>
  <c r="E10" i="4"/>
  <c r="E12" i="4"/>
  <c r="E5" i="4"/>
  <c r="E7" i="4"/>
  <c r="E1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74C039-9348-4FB1-AB29-A323D5EC9DE7}" keepAlive="1" name="Query - Current Tournament" description="Connection to the 'Current Tournament' query in the workbook." type="5" refreshedVersion="6" background="1" saveData="1">
    <dbPr connection="Provider=Microsoft.Mashup.OleDb.1;Data Source=$Workbook$;Location=&quot;Current Tournament&quot;;Extended Properties=&quot;&quot;" command="SELECT * FROM [Current Tournament]"/>
  </connection>
  <connection id="2" xr16:uid="{00000000-0015-0000-FFFF-FFFF00000000}" keepAlive="1" name="Query - Errors in The Open" description="Connection to the 'Errors in The Open' query in the workbook." type="5" refreshedVersion="0" background="1">
    <dbPr connection="Provider=Microsoft.Mashup.OleDb.1;Data Source=$Workbook$;Location=&quot;Errors in The Open&quot;;Extended Properties=&quot;&quot;" command="SELECT * FROM [Errors in The Open]"/>
  </connection>
  <connection id="3" xr16:uid="{830849B2-F5C5-4368-ACCE-C6546C3CC6E1}" keepAlive="1" name="Query - PGA Schedule" description="Connection to the 'PGA Schedule' query in the workbook." type="5" refreshedVersion="6" background="1" saveData="1">
    <dbPr connection="Provider=Microsoft.Mashup.OleDb.1;Data Source=$Workbook$;Location=&quot;PGA Schedule&quot;;Extended Properties=&quot;&quot;" command="SELECT * FROM [PGA Schedule]"/>
  </connection>
  <connection id="4" xr16:uid="{00000000-0015-0000-FFFF-FFFF04000000}" keepAlive="1" name="Query - The Open" description="Connection to the 'The Open' query in the workbook." type="5" refreshedVersion="8" background="1" saveData="1">
    <dbPr connection="Provider=Microsoft.Mashup.OleDb.1;Data Source=$Workbook$;Location=&quot;The Open&quot;;Extended Properties=&quot;&quot;" command="SELECT * FROM [The Open]"/>
  </connection>
  <connection id="5" xr16:uid="{00000000-0015-0000-FFFF-FFFF03000000}" keepAlive="1" name="Query - VegasOdds" description="Connection to the 'VegasOdds' query in the workbook." type="5" refreshedVersion="8" background="1" saveData="1">
    <dbPr connection="Provider=Microsoft.Mashup.OleDb.1;Data Source=$Workbook$;Location=VegasOdds;Extended Properties=&quot;&quot;" command="SELECT * FROM [VegasOdds]"/>
  </connection>
</connections>
</file>

<file path=xl/sharedStrings.xml><?xml version="1.0" encoding="utf-8"?>
<sst xmlns="http://schemas.openxmlformats.org/spreadsheetml/2006/main" count="2018" uniqueCount="500">
  <si>
    <t>Column1</t>
  </si>
  <si>
    <t>Name</t>
  </si>
  <si>
    <t>1</t>
  </si>
  <si>
    <t>Si Woo Kim</t>
  </si>
  <si>
    <t>Column2</t>
  </si>
  <si>
    <t>Column3</t>
  </si>
  <si>
    <t>Column4</t>
  </si>
  <si>
    <t>Pick Column 1.2</t>
  </si>
  <si>
    <t>Pick Column 1.1</t>
  </si>
  <si>
    <t>Col 1.1 Score</t>
  </si>
  <si>
    <t>Col 1.2 Score</t>
  </si>
  <si>
    <t>Pick Column 2.2</t>
  </si>
  <si>
    <t>Pick Column 2.1</t>
  </si>
  <si>
    <t>Pick Column 2.3</t>
  </si>
  <si>
    <t>Col 2.1 Score</t>
  </si>
  <si>
    <t>Col 2.2 Score</t>
  </si>
  <si>
    <t>Col 2.3 Score</t>
  </si>
  <si>
    <t>Golfer Name</t>
  </si>
  <si>
    <t>Rank</t>
  </si>
  <si>
    <t>Column 1</t>
  </si>
  <si>
    <t>Column 2-4</t>
  </si>
  <si>
    <t>Pick 2</t>
  </si>
  <si>
    <t>Pick 3</t>
  </si>
  <si>
    <t>Participant Name:</t>
  </si>
  <si>
    <t>Phone #:</t>
  </si>
  <si>
    <t>Final Score (w/dropped)</t>
  </si>
  <si>
    <t>Col2-4 Combined</t>
  </si>
  <si>
    <t>Phone Number</t>
  </si>
  <si>
    <t>Write-Ins</t>
  </si>
  <si>
    <t>↓</t>
  </si>
  <si>
    <t>Final Score</t>
  </si>
  <si>
    <t>Cut</t>
  </si>
  <si>
    <t>Ranking</t>
  </si>
  <si>
    <t>DO NOT CHANGE</t>
  </si>
  <si>
    <t>1st Place</t>
  </si>
  <si>
    <t>2nd Place</t>
  </si>
  <si>
    <t>https://golf.jacoduplessis.co.za/</t>
  </si>
  <si>
    <t>https://statdata.pgatour.com/r/100/2018/leaderboard-v2mini.json</t>
  </si>
  <si>
    <t>https://www.pgatour.com/competition/2018/the-open-championship/leaderboard.html</t>
  </si>
  <si>
    <t>76</t>
  </si>
  <si>
    <t>77</t>
  </si>
  <si>
    <t>Patrick Reed</t>
  </si>
  <si>
    <t>Andrew Landry</t>
  </si>
  <si>
    <t>Patton Kizzire</t>
  </si>
  <si>
    <t>Update on Mondays ONLY</t>
  </si>
  <si>
    <t>Payout Schedule</t>
  </si>
  <si>
    <t>Entry Count</t>
  </si>
  <si>
    <t>Entries</t>
  </si>
  <si>
    <t>1st</t>
  </si>
  <si>
    <t>2nd</t>
  </si>
  <si>
    <t>3rd</t>
  </si>
  <si>
    <t>4th</t>
  </si>
  <si>
    <t>5th</t>
  </si>
  <si>
    <t>6th</t>
  </si>
  <si>
    <t>7th</t>
  </si>
  <si>
    <t>Payout Count</t>
  </si>
  <si>
    <t>Entry Fee</t>
  </si>
  <si>
    <t>Amount Taken</t>
  </si>
  <si>
    <t>8th</t>
  </si>
  <si>
    <t>9th</t>
  </si>
  <si>
    <t>10th</t>
  </si>
  <si>
    <t>(blank)</t>
  </si>
  <si>
    <t>Paid Outs</t>
  </si>
  <si>
    <t>http://www.vegasinsider.com/golf/odds/futures/</t>
  </si>
  <si>
    <t>Verify Odds listed on page are for correct tournament</t>
  </si>
  <si>
    <t>Keegan Bradley</t>
  </si>
  <si>
    <t>Write-ins are welcome in any position below. The columns are based on VegasOdds.com ratings.  4 golfers must qualify to make the cut. 4 lowest scores are combined for team total.</t>
  </si>
  <si>
    <t>Viktor Hovland</t>
  </si>
  <si>
    <t>Kevin Streelman</t>
  </si>
  <si>
    <t>Sungjae Im</t>
  </si>
  <si>
    <t>Collin Morikawa</t>
  </si>
  <si>
    <t>Michael Thompson</t>
  </si>
  <si>
    <t>Nick Taylor</t>
  </si>
  <si>
    <t>Russell Henley</t>
  </si>
  <si>
    <t>Tom Hoge</t>
  </si>
  <si>
    <t>Jim Herman</t>
  </si>
  <si>
    <t>Justin Thomas</t>
  </si>
  <si>
    <t>65</t>
  </si>
  <si>
    <t>64</t>
  </si>
  <si>
    <t>67</t>
  </si>
  <si>
    <t>69</t>
  </si>
  <si>
    <t>68</t>
  </si>
  <si>
    <t>70</t>
  </si>
  <si>
    <t>71</t>
  </si>
  <si>
    <t>66</t>
  </si>
  <si>
    <t>72</t>
  </si>
  <si>
    <t>73</t>
  </si>
  <si>
    <t>74</t>
  </si>
  <si>
    <t>Marc Leishman</t>
  </si>
  <si>
    <t>Jon Rahm</t>
  </si>
  <si>
    <t>75</t>
  </si>
  <si>
    <t>Jordan Spieth</t>
  </si>
  <si>
    <t>Emiliano Grillo</t>
  </si>
  <si>
    <t>=LEFT([@PLAYER], SEARCH(LEFT([@PLAYER],1) &amp; ".", [@PLAYER], 4) -1)</t>
  </si>
  <si>
    <t>https://pygolf.jacoduplessis.co.za/api</t>
  </si>
  <si>
    <t>Billy Horschel</t>
  </si>
  <si>
    <t>Lanto Griffin</t>
  </si>
  <si>
    <t>Chris Kirk</t>
  </si>
  <si>
    <t>Maverick McNealy</t>
  </si>
  <si>
    <t>Ryan Palmer</t>
  </si>
  <si>
    <t>Rory McIlroy</t>
  </si>
  <si>
    <t>Dustin Johnson</t>
  </si>
  <si>
    <t>Tiger Woods</t>
  </si>
  <si>
    <t>Webb Simpson</t>
  </si>
  <si>
    <t>Daniel Berger</t>
  </si>
  <si>
    <t>Brendon Todd</t>
  </si>
  <si>
    <t>Harris English</t>
  </si>
  <si>
    <t>Brian Harman</t>
  </si>
  <si>
    <t>Tyler Duncan</t>
  </si>
  <si>
    <t>Cameron Smith</t>
  </si>
  <si>
    <t>Adam Scott</t>
  </si>
  <si>
    <t>https://www.espn.com/golf/schedule</t>
  </si>
  <si>
    <t>DATE</t>
  </si>
  <si>
    <t>TOURNAMENT</t>
  </si>
  <si>
    <t>U.S. Open</t>
  </si>
  <si>
    <t>Bryson DeChambeau</t>
  </si>
  <si>
    <t>Corales Puntacana Resort &amp; Club Championship</t>
  </si>
  <si>
    <t>TV</t>
  </si>
  <si>
    <t>DEFENDING CHAMP</t>
  </si>
  <si>
    <t>PURSE</t>
  </si>
  <si>
    <t>Oct 22 - Oct 25</t>
  </si>
  <si>
    <t>The ZOZO CHAMPIONSHIP</t>
  </si>
  <si>
    <t>WGC-HSBC CHAMPIONS - CANCELED</t>
  </si>
  <si>
    <t>Bermuda Championship</t>
  </si>
  <si>
    <t>Houston Open</t>
  </si>
  <si>
    <t>2020 Masters Tournament</t>
  </si>
  <si>
    <t>ESPN/CBS</t>
  </si>
  <si>
    <t>The RSM Classic</t>
  </si>
  <si>
    <t>The Match: Champions for Change</t>
  </si>
  <si>
    <t>Mayakoba Golf Classic</t>
  </si>
  <si>
    <t>Hero World Challenge - CANCELED</t>
  </si>
  <si>
    <t>Henrik Stenson</t>
  </si>
  <si>
    <t>Sentry Tournament of Champions</t>
  </si>
  <si>
    <t>Sony Open in Hawaii</t>
  </si>
  <si>
    <t>The American Express</t>
  </si>
  <si>
    <t>Farmers Insurance Open</t>
  </si>
  <si>
    <t>Waste Management Phoenix Open</t>
  </si>
  <si>
    <t>AT&amp;T Pebble Beach Pro-Am</t>
  </si>
  <si>
    <t>The Genesis Invitational</t>
  </si>
  <si>
    <t>WGC-Mexico Championship</t>
  </si>
  <si>
    <t>Puerto Rico Open</t>
  </si>
  <si>
    <t>Arnold Palmer Invitational Pres. By Mastercard</t>
  </si>
  <si>
    <t>Tyrrell Hatton</t>
  </si>
  <si>
    <t>THE PLAYERS Championship</t>
  </si>
  <si>
    <t>The Honda Classic</t>
  </si>
  <si>
    <t>WGC-Dell Technologies Match Play</t>
  </si>
  <si>
    <t>Valero Texas Open</t>
  </si>
  <si>
    <t>2021 Masters Tournament</t>
  </si>
  <si>
    <t>RBC Heritage</t>
  </si>
  <si>
    <t>Zurich Classic of New Orleans</t>
  </si>
  <si>
    <t>Valspar Championship</t>
  </si>
  <si>
    <t>Wells Fargo Championship</t>
  </si>
  <si>
    <t>AT&amp;T Byron Nelson</t>
  </si>
  <si>
    <t>PGA Championship</t>
  </si>
  <si>
    <t>Charles Schwab Challenge</t>
  </si>
  <si>
    <t>the Memorial Tournament pres. by Nationwide</t>
  </si>
  <si>
    <t>RBC Canadian Open</t>
  </si>
  <si>
    <t>Travelers Championship</t>
  </si>
  <si>
    <t>Rocket Mortgage Classic</t>
  </si>
  <si>
    <t>John Deere Classic</t>
  </si>
  <si>
    <t>Barbasol Championship</t>
  </si>
  <si>
    <t>The Open Championship</t>
  </si>
  <si>
    <t>3M Open</t>
  </si>
  <si>
    <t>Barracuda Championship</t>
  </si>
  <si>
    <t>WGC-FedEx St. Jude Invitational</t>
  </si>
  <si>
    <t>Wyndham Championship</t>
  </si>
  <si>
    <t>THE NORTHERN TRUST</t>
  </si>
  <si>
    <t>BMW Championship</t>
  </si>
  <si>
    <t>Tour Championship</t>
  </si>
  <si>
    <t>Ryder Cup</t>
  </si>
  <si>
    <t>Oct 29 - Nov 1</t>
  </si>
  <si>
    <t>Nov 5 - Nov 8</t>
  </si>
  <si>
    <t>Nov 12 - Nov 15</t>
  </si>
  <si>
    <t>Nov 19 - Nov 22</t>
  </si>
  <si>
    <t>Nov 27</t>
  </si>
  <si>
    <t>Dec 3 - Dec 6</t>
  </si>
  <si>
    <t>Jan 7 - Jan 10</t>
  </si>
  <si>
    <t>Jan 14 - Jan 17</t>
  </si>
  <si>
    <t>Jan 21 - Jan 24</t>
  </si>
  <si>
    <t>Jan 28 - Jan 31</t>
  </si>
  <si>
    <t>Feb 4 - Feb 7</t>
  </si>
  <si>
    <t>Feb 11 - Feb 14</t>
  </si>
  <si>
    <t>Feb 18 - Feb 21</t>
  </si>
  <si>
    <t>Feb 25 - Feb 28</t>
  </si>
  <si>
    <t>Mar 4 - Mar 7</t>
  </si>
  <si>
    <t>Mar 11 - Mar 14</t>
  </si>
  <si>
    <t>Mar 18 - Mar 21</t>
  </si>
  <si>
    <t>Mar 24 - Mar 28</t>
  </si>
  <si>
    <t>Mar 25 - Mar 28</t>
  </si>
  <si>
    <t>Apr 1 - Apr 4</t>
  </si>
  <si>
    <t>Apr 8 - Apr 11</t>
  </si>
  <si>
    <t>Apr 15 - Apr 18</t>
  </si>
  <si>
    <t>Apr 22 - Apr 25</t>
  </si>
  <si>
    <t>Apr 29 - May 2</t>
  </si>
  <si>
    <t>May 6 - May 9</t>
  </si>
  <si>
    <t>May 13 - May 16</t>
  </si>
  <si>
    <t>May 20 - May 23</t>
  </si>
  <si>
    <t>May 27 - May 30</t>
  </si>
  <si>
    <t>Jun 3 - Jun 6</t>
  </si>
  <si>
    <t>Jun 10 - Jun 13</t>
  </si>
  <si>
    <t>Jun 17 - Jun 20</t>
  </si>
  <si>
    <t>Jun 24 - Jun 27</t>
  </si>
  <si>
    <t>Jul 1 - Jul 4</t>
  </si>
  <si>
    <t>Jul 8 - Jul 11</t>
  </si>
  <si>
    <t>Jul 15 - Jul 18</t>
  </si>
  <si>
    <t>Jul 22 - Jul 25</t>
  </si>
  <si>
    <t>Aug 5 - Aug 8</t>
  </si>
  <si>
    <t>Aug 12 - Aug 15</t>
  </si>
  <si>
    <t>Aug 19 - Aug 22</t>
  </si>
  <si>
    <t>Aug 26 - Aug 29</t>
  </si>
  <si>
    <t>Sep 2 - Sep 5</t>
  </si>
  <si>
    <t>Sep 24 - Sep 26</t>
  </si>
  <si>
    <t>Lucas Glover</t>
  </si>
  <si>
    <t>EntryForm Email List</t>
  </si>
  <si>
    <t>scott@pinandcue.com</t>
  </si>
  <si>
    <t>mike@pinandcue.com</t>
  </si>
  <si>
    <t>mac@pinandcue.com</t>
  </si>
  <si>
    <t>pinandcue@hotmail.com</t>
  </si>
  <si>
    <t>Switch to : https://www.msn.com/en-us/Sports/golf/leaderboard</t>
  </si>
  <si>
    <t>Corey Conners</t>
  </si>
  <si>
    <t>Stewart Cink</t>
  </si>
  <si>
    <t>Keith Mitchell</t>
  </si>
  <si>
    <t>Results Email List</t>
  </si>
  <si>
    <t>Hideki Matsuyama</t>
  </si>
  <si>
    <t>Cam Davis</t>
  </si>
  <si>
    <t>Robert Streb</t>
  </si>
  <si>
    <t>Harry Higgs</t>
  </si>
  <si>
    <t>Playoff</t>
  </si>
  <si>
    <t>No</t>
  </si>
  <si>
    <t>Playoff Dropdown</t>
  </si>
  <si>
    <t>Yes</t>
  </si>
  <si>
    <t>K.H. Lee</t>
  </si>
  <si>
    <t>Mackenzie Hughes</t>
  </si>
  <si>
    <t>&gt;&gt;&gt; import pyautogui as pg</t>
  </si>
  <si>
    <t>&gt;&gt;&gt; def spaces():</t>
  </si>
  <si>
    <t>...  pg.hotkey("alt", "tab", interval=0.1)</t>
  </si>
  <si>
    <t>...  for _ in range(35):</t>
  </si>
  <si>
    <t>...   for _ in range(5):</t>
  </si>
  <si>
    <t>...    pg.press(["f2", "backspace", "tab"])</t>
  </si>
  <si>
    <t>...   pg.press(["enter"])</t>
  </si>
  <si>
    <t>Table #</t>
  </si>
  <si>
    <r>
      <t xml:space="preserve">Pick 5 golfers from the following brackets. Please circle and write their name below in the spots provided. The highest scoring golfer will be dropped (if all 5 players make the cut). Entry must have at least 4 players make the cut. The entry fee is </t>
    </r>
    <r>
      <rPr>
        <b/>
        <sz val="21"/>
        <color theme="1"/>
        <rFont val="Calibri"/>
        <family val="2"/>
        <scheme val="minor"/>
      </rPr>
      <t>$5.00</t>
    </r>
    <r>
      <rPr>
        <sz val="21"/>
        <color theme="1"/>
        <rFont val="Calibri"/>
        <family val="2"/>
        <scheme val="minor"/>
      </rPr>
      <t xml:space="preserve"> per bracket and must be paid prior to the first tee off scheduled. No limit on quantity of entries. The pool will pay 1 place per 10 valid entries received and paid for. The highest rated golfers are listed from top-to-bottom and left-to-right.  Any picked player unable to start will be replaced by next available lower ranked player. </t>
    </r>
  </si>
  <si>
    <t>http://golfodds.com/weekly-odds.html</t>
  </si>
  <si>
    <t>https://scores.nbcsports.com/golf/final.asp?tour=PGA&amp;meta=true</t>
  </si>
  <si>
    <t>12/1</t>
  </si>
  <si>
    <t>Tom Kim</t>
  </si>
  <si>
    <t>16/1</t>
  </si>
  <si>
    <t>20/1</t>
  </si>
  <si>
    <t>25/1</t>
  </si>
  <si>
    <t>30/1</t>
  </si>
  <si>
    <t>35/1</t>
  </si>
  <si>
    <t>Taylor Montgomery</t>
  </si>
  <si>
    <t>40/1</t>
  </si>
  <si>
    <t>J.J. Spaun</t>
  </si>
  <si>
    <t>Andrew Putnam</t>
  </si>
  <si>
    <t>J.T. Poston</t>
  </si>
  <si>
    <t>50/1</t>
  </si>
  <si>
    <t>Denny McCarthy</t>
  </si>
  <si>
    <t>Matt Kuchar</t>
  </si>
  <si>
    <t>Gary Woodland</t>
  </si>
  <si>
    <t>Christiaan Bezuidenhout</t>
  </si>
  <si>
    <t>60/1</t>
  </si>
  <si>
    <t>Kurt Kitayama</t>
  </si>
  <si>
    <t>Alex Smalley</t>
  </si>
  <si>
    <t>Hayden Buckley</t>
  </si>
  <si>
    <t>80/1</t>
  </si>
  <si>
    <t>Adam Svensson</t>
  </si>
  <si>
    <t>Will Gordon</t>
  </si>
  <si>
    <t>Nick Hardy</t>
  </si>
  <si>
    <t>Robby Shelton</t>
  </si>
  <si>
    <t>Brendan Steele</t>
  </si>
  <si>
    <t>Aaron Rai</t>
  </si>
  <si>
    <t>Stephan Jaeger</t>
  </si>
  <si>
    <t>Russell Knox</t>
  </si>
  <si>
    <t>100/1</t>
  </si>
  <si>
    <t>Greyson Sigg</t>
  </si>
  <si>
    <t>S.H. Kim</t>
  </si>
  <si>
    <t>125/1</t>
  </si>
  <si>
    <t>Troy Merritt</t>
  </si>
  <si>
    <t>David Lipsky</t>
  </si>
  <si>
    <t>Justin Suh</t>
  </si>
  <si>
    <t>Ben Griffin</t>
  </si>
  <si>
    <t>150/1</t>
  </si>
  <si>
    <t>Chez Reavie</t>
  </si>
  <si>
    <t>Kevin Yu</t>
  </si>
  <si>
    <t>Mark Hubbard</t>
  </si>
  <si>
    <t>Adam Schenk</t>
  </si>
  <si>
    <t>Davis Thompson</t>
  </si>
  <si>
    <t>Ryan Armour</t>
  </si>
  <si>
    <t>Scott Piercy</t>
  </si>
  <si>
    <t>Sam Ryder</t>
  </si>
  <si>
    <t>Joseph Bramlett</t>
  </si>
  <si>
    <t>Adam Long</t>
  </si>
  <si>
    <t>Brandon Wu</t>
  </si>
  <si>
    <t>Zac Blair</t>
  </si>
  <si>
    <t>200/1</t>
  </si>
  <si>
    <t>MJ Daffue</t>
  </si>
  <si>
    <t>Zach Johnson</t>
  </si>
  <si>
    <t>Carl Yuan</t>
  </si>
  <si>
    <t>Matti Schmid</t>
  </si>
  <si>
    <t>Kazuki Higa</t>
  </si>
  <si>
    <t>Keita Nakajima</t>
  </si>
  <si>
    <t>Matthias Schwab</t>
  </si>
  <si>
    <t>Ben Taylor</t>
  </si>
  <si>
    <t>David Lingmerth</t>
  </si>
  <si>
    <t>Byeong Hun An</t>
  </si>
  <si>
    <t>250/1</t>
  </si>
  <si>
    <t>Chesson Hadley</t>
  </si>
  <si>
    <t>Brian Stuard</t>
  </si>
  <si>
    <t>Erik Barnes</t>
  </si>
  <si>
    <t>Austin Cook</t>
  </si>
  <si>
    <t>Cole Hammer</t>
  </si>
  <si>
    <t>Yuto Katsuragawa</t>
  </si>
  <si>
    <t>John Huh</t>
  </si>
  <si>
    <t>Harry Hall</t>
  </si>
  <si>
    <t>300/1</t>
  </si>
  <si>
    <t>Zecheng Dou</t>
  </si>
  <si>
    <t>Austin Eckroat</t>
  </si>
  <si>
    <t>Rory Sabbatini</t>
  </si>
  <si>
    <t>Austin Smotherman</t>
  </si>
  <si>
    <t>Harrison Endycott</t>
  </si>
  <si>
    <t>Aaron Baddeley</t>
  </si>
  <si>
    <t>Paul Haley II</t>
  </si>
  <si>
    <t>Danny Lee</t>
  </si>
  <si>
    <t>Vincent Norrman</t>
  </si>
  <si>
    <t>Taiga Semikawa</t>
  </si>
  <si>
    <t>Tyson Alexander</t>
  </si>
  <si>
    <t>Ben Martin</t>
  </si>
  <si>
    <t>Eric Cole</t>
  </si>
  <si>
    <t>Ryan Moore</t>
  </si>
  <si>
    <t>Kramer Hickok</t>
  </si>
  <si>
    <t>Brice Garnett</t>
  </si>
  <si>
    <t>Michael Kim</t>
  </si>
  <si>
    <t>Nate Lashley</t>
  </si>
  <si>
    <t>Peter Malnati</t>
  </si>
  <si>
    <t>Doc Redman</t>
  </si>
  <si>
    <t>400/1</t>
  </si>
  <si>
    <t>Jerry Kelly</t>
  </si>
  <si>
    <t>Andrew Novak</t>
  </si>
  <si>
    <t>Sam Stevens</t>
  </si>
  <si>
    <t>Michael Gligic</t>
  </si>
  <si>
    <t>Kevin Tway</t>
  </si>
  <si>
    <t>Ryan Brehm</t>
  </si>
  <si>
    <t>Chad Ramey</t>
  </si>
  <si>
    <t>500/1</t>
  </si>
  <si>
    <t>Kelly Kraft</t>
  </si>
  <si>
    <t>Jimmy Walker</t>
  </si>
  <si>
    <t>Kaito Onishi</t>
  </si>
  <si>
    <t>Kevin Roy</t>
  </si>
  <si>
    <t>Augusto Nunez</t>
  </si>
  <si>
    <t>Brent Grant</t>
  </si>
  <si>
    <t>600/1</t>
  </si>
  <si>
    <t>Max McGreevy</t>
  </si>
  <si>
    <t>Richy Werenski</t>
  </si>
  <si>
    <t>Trevor Cone</t>
  </si>
  <si>
    <t>Kyle Stanley</t>
  </si>
  <si>
    <t>Scott Harrington</t>
  </si>
  <si>
    <t>Tano Goya</t>
  </si>
  <si>
    <t>Nico Echavarria</t>
  </si>
  <si>
    <t>Brandon Matthews</t>
  </si>
  <si>
    <t>Kyle Westmoreland</t>
  </si>
  <si>
    <t>K.J. Choi</t>
  </si>
  <si>
    <t>1000/1</t>
  </si>
  <si>
    <t>Anders Albertson</t>
  </si>
  <si>
    <t>Trevor Werbylo</t>
  </si>
  <si>
    <t>Carson Young</t>
  </si>
  <si>
    <t>Kohei Okada</t>
  </si>
  <si>
    <t>Jesse Mueller</t>
  </si>
  <si>
    <t>2000/1</t>
  </si>
  <si>
    <t>Parker McLachlin</t>
  </si>
  <si>
    <t>Michael Castillo</t>
  </si>
  <si>
    <t>5000/1</t>
  </si>
  <si>
    <t>Blaze Akana</t>
  </si>
  <si>
    <t>Dylan Wu</t>
  </si>
  <si>
    <t>Austen Truslow</t>
  </si>
  <si>
    <t>Joseph Winslow</t>
  </si>
  <si>
    <t>George Markham</t>
  </si>
  <si>
    <t>Danny Guise</t>
  </si>
  <si>
    <t>Tournament Matchups:</t>
  </si>
  <si>
    <t/>
  </si>
  <si>
    <t>-125</t>
  </si>
  <si>
    <t>Tom Kim</t>
  </si>
  <si>
    <t>+105</t>
  </si>
  <si>
    <t>EVEN</t>
  </si>
  <si>
    <t>-120</t>
  </si>
  <si>
    <t>Russell Henley</t>
  </si>
  <si>
    <t>-140</t>
  </si>
  <si>
    <t>Adam Scott</t>
  </si>
  <si>
    <t>+120</t>
  </si>
  <si>
    <t>Alex Smalley</t>
  </si>
  <si>
    <t>+110</t>
  </si>
  <si>
    <t>-130</t>
  </si>
  <si>
    <t>Will Gordon</t>
  </si>
  <si>
    <t>Tournament Propositions:</t>
  </si>
  <si>
    <t>72 Hole Winning Score:</t>
  </si>
  <si>
    <t>Par=70</t>
  </si>
  <si>
    <t>Over                              258.5</t>
  </si>
  <si>
    <t>-110</t>
  </si>
  <si>
    <t>Under                            258.5</t>
  </si>
  <si>
    <t>Will there be a Playoff?</t>
  </si>
  <si>
    <t>+350</t>
  </si>
  <si>
    <t>-420</t>
  </si>
  <si>
    <t>Hero Cup</t>
  </si>
  <si>
    <t>Abu Dhabi Golf Club -</t>
  </si>
  <si>
    <t>Abu Dhabi, UAE</t>
  </si>
  <si>
    <t>January 13-15, 2023</t>
  </si>
  <si>
    <t>ODDS to Win:</t>
  </si>
  <si>
    <t>(3-way Points Result)</t>
  </si>
  <si>
    <t>Continental Europe</t>
  </si>
  <si>
    <t>+130</t>
  </si>
  <si>
    <t>Great Britain &amp; Ireland</t>
  </si>
  <si>
    <t>Draw</t>
  </si>
  <si>
    <t>+1200</t>
  </si>
  <si>
    <t>- current as of 1/9/2023 -</t>
  </si>
  <si>
    <t>Mac #1</t>
  </si>
  <si>
    <t>Mac #2</t>
  </si>
  <si>
    <t>Mac #3</t>
  </si>
  <si>
    <t>Snowman</t>
  </si>
  <si>
    <t>Albatross</t>
  </si>
  <si>
    <t>Prom Date</t>
  </si>
  <si>
    <t>Huckleberry</t>
  </si>
  <si>
    <t>KB 1</t>
  </si>
  <si>
    <t>KB 2</t>
  </si>
  <si>
    <t>KB 3</t>
  </si>
  <si>
    <t>Dave #1</t>
  </si>
  <si>
    <t>Dave #2</t>
  </si>
  <si>
    <t>Dimpled Balls</t>
  </si>
  <si>
    <t>Lisa</t>
  </si>
  <si>
    <t>KC-44</t>
  </si>
  <si>
    <t>Lynnie Winnie</t>
  </si>
  <si>
    <t>JH1</t>
  </si>
  <si>
    <t>JH2</t>
  </si>
  <si>
    <t>Cubs Golfers Team I</t>
  </si>
  <si>
    <t>Cubs Golfers Team II</t>
  </si>
  <si>
    <t>Pat Post #1</t>
  </si>
  <si>
    <t>Pat Post #2</t>
  </si>
  <si>
    <t>Pat Post #3</t>
  </si>
  <si>
    <t>LMO1</t>
  </si>
  <si>
    <t>LMO2</t>
  </si>
  <si>
    <t>Round 1</t>
  </si>
  <si>
    <t>Round 2</t>
  </si>
  <si>
    <t>Round 3</t>
  </si>
  <si>
    <t>Round 4</t>
  </si>
  <si>
    <t>Total</t>
  </si>
  <si>
    <t>Thru</t>
  </si>
  <si>
    <t>Column9</t>
  </si>
  <si>
    <t>Cameron Davis</t>
  </si>
  <si>
    <t>Kramer Hickok</t>
  </si>
  <si>
    <t>M.J. Daffue</t>
  </si>
  <si>
    <t>Kevin Roy</t>
  </si>
  <si>
    <t>Kelly Kraft</t>
  </si>
  <si>
    <t>Samuel Stevens</t>
  </si>
  <si>
    <t>Jonathan Byrd</t>
  </si>
  <si>
    <t>Matthias Schmid</t>
  </si>
  <si>
    <t>79</t>
  </si>
  <si>
    <t>80</t>
  </si>
  <si>
    <t>4t</t>
  </si>
  <si>
    <t>63</t>
  </si>
  <si>
    <t>=IF(OR(#REF!="CUT", #REF!="DQ", #REF!="WD"), "CUT", "")</t>
  </si>
  <si>
    <t>2</t>
  </si>
  <si>
    <t>3</t>
  </si>
  <si>
    <t>62</t>
  </si>
  <si>
    <t>65t</t>
  </si>
  <si>
    <t>73t</t>
  </si>
  <si>
    <t>-</t>
  </si>
  <si>
    <t>MC</t>
  </si>
  <si>
    <t>Round</t>
  </si>
  <si>
    <t>Round Dropdown</t>
  </si>
  <si>
    <t>Auto</t>
  </si>
  <si>
    <t>-18 (262)</t>
  </si>
  <si>
    <t>F</t>
  </si>
  <si>
    <t>-17 (263)</t>
  </si>
  <si>
    <t>-15 (265)</t>
  </si>
  <si>
    <t>-14 (266)</t>
  </si>
  <si>
    <t>7t</t>
  </si>
  <si>
    <t>-13 (267)</t>
  </si>
  <si>
    <t>12t</t>
  </si>
  <si>
    <t>-12 (268)</t>
  </si>
  <si>
    <t>21t</t>
  </si>
  <si>
    <t>-11 (269)</t>
  </si>
  <si>
    <t>28t</t>
  </si>
  <si>
    <t>-10 (270)</t>
  </si>
  <si>
    <t>32t</t>
  </si>
  <si>
    <t>-9 (271)</t>
  </si>
  <si>
    <t>41t</t>
  </si>
  <si>
    <t>-8 (272)</t>
  </si>
  <si>
    <t>48t</t>
  </si>
  <si>
    <t>-7 (273)</t>
  </si>
  <si>
    <t>54t</t>
  </si>
  <si>
    <t>-6 (274)</t>
  </si>
  <si>
    <t>61t</t>
  </si>
  <si>
    <t>-5 (275)</t>
  </si>
  <si>
    <t>-4 (276)</t>
  </si>
  <si>
    <t>67t</t>
  </si>
  <si>
    <t>-3 (277)</t>
  </si>
  <si>
    <t>-2 (278)</t>
  </si>
  <si>
    <t>-1 (279)</t>
  </si>
  <si>
    <t>+1 (281)</t>
  </si>
  <si>
    <t>+2 (282)</t>
  </si>
  <si>
    <t>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</si>
</sst>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i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36"/>
      <color theme="1"/>
      <name val="Copperplate Gothic Bold"/>
      <family val="2"/>
    </font>
    <font>
      <sz val="16"/>
      <color theme="1"/>
      <name val="Copperplate Gothic Bold"/>
      <family val="2"/>
    </font>
    <font>
      <b/>
      <sz val="2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6"/>
      <color rgb="FFFF6600"/>
      <name val="Cascadia Code"/>
      <family val="3"/>
    </font>
    <font>
      <sz val="14"/>
      <color rgb="FF000000"/>
      <name val="Cascadia Code"/>
      <family val="3"/>
    </font>
    <font>
      <b/>
      <sz val="24"/>
      <color rgb="FF000000"/>
      <name val="Calibri"/>
      <family val="2"/>
    </font>
    <font>
      <b/>
      <sz val="48"/>
      <color rgb="FFFF66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3" fillId="4" borderId="0" applyNumberFormat="0" applyBorder="0" applyAlignment="0" applyProtection="0"/>
    <xf numFmtId="44" fontId="16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0" fillId="6" borderId="5" applyNumberFormat="0" applyAlignment="0" applyProtection="0"/>
  </cellStyleXfs>
  <cellXfs count="72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/>
    <xf numFmtId="0" fontId="2" fillId="0" borderId="0" xfId="0" applyFont="1"/>
    <xf numFmtId="0" fontId="1" fillId="0" borderId="2" xfId="0" applyFont="1" applyBorder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6" fillId="0" borderId="0" xfId="0" applyFont="1" applyAlignment="1">
      <alignment horizontal="center" vertical="center"/>
    </xf>
    <xf numFmtId="0" fontId="0" fillId="2" borderId="0" xfId="0" applyFill="1"/>
    <xf numFmtId="0" fontId="0" fillId="3" borderId="2" xfId="0" applyFill="1" applyBorder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15" fillId="0" borderId="1" xfId="0" applyFont="1" applyBorder="1"/>
    <xf numFmtId="0" fontId="15" fillId="0" borderId="2" xfId="0" applyFont="1" applyBorder="1"/>
    <xf numFmtId="0" fontId="15" fillId="0" borderId="1" xfId="0" applyFont="1" applyBorder="1" applyAlignment="1">
      <alignment horizontal="right"/>
    </xf>
    <xf numFmtId="0" fontId="0" fillId="0" borderId="4" xfId="0" applyBorder="1"/>
    <xf numFmtId="0" fontId="12" fillId="0" borderId="0" xfId="0" applyFont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8" fontId="15" fillId="0" borderId="0" xfId="2" applyNumberFormat="1" applyFont="1" applyAlignment="1">
      <alignment horizontal="center" vertical="center"/>
    </xf>
    <xf numFmtId="0" fontId="17" fillId="5" borderId="2" xfId="0" applyFont="1" applyFill="1" applyBorder="1" applyAlignment="1">
      <alignment horizontal="center"/>
    </xf>
    <xf numFmtId="2" fontId="0" fillId="0" borderId="0" xfId="0" applyNumberFormat="1"/>
    <xf numFmtId="44" fontId="20" fillId="6" borderId="5" xfId="2" applyFont="1" applyFill="1" applyBorder="1"/>
    <xf numFmtId="0" fontId="15" fillId="7" borderId="0" xfId="0" applyFont="1" applyFill="1"/>
    <xf numFmtId="0" fontId="15" fillId="7" borderId="0" xfId="0" applyFont="1" applyFill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5" borderId="2" xfId="0" applyFont="1" applyFill="1" applyBorder="1"/>
    <xf numFmtId="0" fontId="24" fillId="0" borderId="0" xfId="3"/>
    <xf numFmtId="0" fontId="15" fillId="0" borderId="0" xfId="0" applyFont="1" applyAlignment="1">
      <alignment horizontal="right"/>
    </xf>
    <xf numFmtId="44" fontId="0" fillId="0" borderId="0" xfId="2" applyFont="1"/>
    <xf numFmtId="0" fontId="0" fillId="0" borderId="3" xfId="0" applyBorder="1"/>
    <xf numFmtId="0" fontId="0" fillId="0" borderId="0" xfId="0" quotePrefix="1"/>
    <xf numFmtId="0" fontId="20" fillId="6" borderId="5" xfId="4"/>
    <xf numFmtId="0" fontId="0" fillId="8" borderId="0" xfId="0" applyFill="1"/>
    <xf numFmtId="0" fontId="21" fillId="0" borderId="0" xfId="0" applyFont="1" applyAlignment="1">
      <alignment horizontal="center" shrinkToFit="1"/>
    </xf>
    <xf numFmtId="0" fontId="22" fillId="0" borderId="0" xfId="0" applyFont="1" applyAlignment="1">
      <alignment horizontal="center" vertical="top"/>
    </xf>
    <xf numFmtId="0" fontId="17" fillId="0" borderId="2" xfId="0" applyFont="1" applyBorder="1" applyAlignment="1">
      <alignment horizontal="center"/>
    </xf>
    <xf numFmtId="0" fontId="13" fillId="4" borderId="0" xfId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wrapText="1"/>
    </xf>
    <xf numFmtId="0" fontId="19" fillId="0" borderId="0" xfId="0" applyFont="1" applyAlignment="1">
      <alignment horizontal="left" vertical="center" wrapText="1"/>
    </xf>
    <xf numFmtId="0" fontId="9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right" vertical="center"/>
    </xf>
    <xf numFmtId="0" fontId="15" fillId="0" borderId="0" xfId="0" applyNumberFormat="1" applyFont="1"/>
    <xf numFmtId="0" fontId="15" fillId="0" borderId="0" xfId="0" applyNumberFormat="1" applyFont="1" applyAlignment="1">
      <alignment horizontal="center" vertical="center"/>
    </xf>
  </cellXfs>
  <cellStyles count="5">
    <cellStyle name="Bad" xfId="1" builtinId="27"/>
    <cellStyle name="Currency" xfId="2" builtinId="4"/>
    <cellStyle name="Hyperlink" xfId="3" builtinId="8"/>
    <cellStyle name="Input" xfId="4" builtinId="20"/>
    <cellStyle name="Normal" xfId="0" builtinId="0"/>
  </cellStyles>
  <dxfs count="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thin">
          <color indexed="64"/>
        </right>
        <vertic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thin">
          <color indexed="64"/>
        </right>
        <vertical/>
      </border>
    </dxf>
    <dxf>
      <border diagonalUp="0" diagonalDown="0">
        <left/>
        <right style="thin">
          <color indexed="64"/>
        </right>
        <vertic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vertical="bottom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9B9B"/>
          </stop>
        </gradientFill>
      </fill>
      <border>
        <vertical/>
        <horizontal/>
      </border>
    </dxf>
    <dxf>
      <font>
        <strike/>
        <color rgb="FFFF000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-0.24994659260841701"/>
      </font>
      <fill>
        <patternFill patternType="solid"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/>
    </dxf>
    <dxf>
      <alignment vertical="center"/>
    </dxf>
    <dxf>
      <alignment horizontal="center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border>
        <right style="thin">
          <color auto="1"/>
        </right>
        <vertical/>
        <horizontal/>
      </border>
    </dxf>
  </dxfs>
  <tableStyles count="0" defaultTableStyle="TableStyleMedium2" defaultPivotStyle="PivotStyleLight16"/>
  <colors>
    <mruColors>
      <color rgb="FFFF9B9B"/>
      <color rgb="FFFF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1133475</xdr:colOff>
          <xdr:row>1</xdr:row>
          <xdr:rowOff>0</xdr:rowOff>
        </xdr:from>
        <xdr:to>
          <xdr:col>11</xdr:col>
          <xdr:colOff>1133475</xdr:colOff>
          <xdr:row>3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&amp; Save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390525</xdr:colOff>
          <xdr:row>3</xdr:row>
          <xdr:rowOff>123825</xdr:rowOff>
        </xdr:from>
        <xdr:to>
          <xdr:col>36</xdr:col>
          <xdr:colOff>561975</xdr:colOff>
          <xdr:row>8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64592" rIns="164592" bIns="164592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Print Entry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7</xdr:col>
          <xdr:colOff>600075</xdr:colOff>
          <xdr:row>6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Cascadia Code"/>
                  <a:cs typeface="Cascadia Code"/>
                </a:rPr>
                <a:t>Transfer Odds to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862013</xdr:colOff>
          <xdr:row>7</xdr:row>
          <xdr:rowOff>9525</xdr:rowOff>
        </xdr:from>
        <xdr:to>
          <xdr:col>6</xdr:col>
          <xdr:colOff>1114425</xdr:colOff>
          <xdr:row>9</xdr:row>
          <xdr:rowOff>176213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scadia Code"/>
                  <a:cs typeface="Cascadia Code"/>
                </a:rPr>
                <a:t>Get Vegas Odds (new hotness)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cCracken" refreshedDate="44942.284150231484" createdVersion="6" refreshedVersion="8" minRefreshableVersion="3" recordCount="100" xr:uid="{00000000-000A-0000-FFFF-FFFF00000000}">
  <cacheSource type="worksheet">
    <worksheetSource ref="A2:N102" sheet="Entries"/>
  </cacheSource>
  <cacheFields count="14">
    <cacheField name="Name" numFmtId="0">
      <sharedItems containsBlank="1" count="90">
        <s v="Mac #1"/>
        <s v="Mac #2"/>
        <s v="Mac #3"/>
        <s v="Snowman"/>
        <s v="Albatross"/>
        <s v="Prom Date"/>
        <s v="Huckleberry"/>
        <s v="KB 1"/>
        <s v="KB 2"/>
        <s v="KB 3"/>
        <s v="Dave #1"/>
        <s v="Dave #2"/>
        <s v="Dimpled Balls"/>
        <s v="Lisa"/>
        <s v="KC-44"/>
        <s v="Lynnie Winnie"/>
        <s v="JH1"/>
        <s v="JH2"/>
        <s v="Cubs Golfers Team I"/>
        <s v="Cubs Golfers Team II"/>
        <s v="Pat Post #1"/>
        <s v="Pat Post #2"/>
        <s v="Pat Post #3"/>
        <s v="LMO1"/>
        <s v="LMO2"/>
        <m/>
        <s v="Lynn Cherrington" u="1"/>
        <s v="Mac 2" u="1"/>
        <s v="Dave Baker" u="1"/>
        <s v="Bryan Anderson" u="1"/>
        <s v="Karen Baker" u="1"/>
        <s v="Dan Little" u="1"/>
        <s v="Rosie" u="1"/>
        <s v="Mac5" u="1"/>
        <s v="Zac1" u="1"/>
        <s v="Mac1 " u="1"/>
        <s v="Lin Gwiazdon" u="1"/>
        <s v="Caleb Stanton1" u="1"/>
        <s v="Joe / Gerry" u="1"/>
        <s v="Karen Lantz" u="1"/>
        <s v="Don H." u="1"/>
        <s v="Zac2" u="1"/>
        <s v="Karlene Lantz" u="1"/>
        <s v="Brian McDowell" u="1"/>
        <s v="Kelly Cherrington" u="1"/>
        <s v="Tim Murphy" u="1"/>
        <s v="DB &amp; KB" u="1"/>
        <s v="Michael McCracken" u="1"/>
        <s v="Kerry Cherrington" u="1"/>
        <s v="Murpho" u="1"/>
        <s v="Tim Murphy1" u="1"/>
        <s v="Zac3" u="1"/>
        <s v="Tim Murphy2" u="1"/>
        <s v="Tim Murphy3" u="1"/>
        <s v="Joe Hutchens 2" u="1"/>
        <s v="Tim Murphy4" u="1"/>
        <s v="Richard Thomas" u="1"/>
        <s v="Linda Hutchens" u="1"/>
        <s v="Tim Murphy5" u="1"/>
        <s v="Mac 3" u="1"/>
        <s v="Spike Lantz" u="1"/>
        <s v="Tim Murphy6" u="1"/>
        <s v="Bottom Feeders" u="1"/>
        <s v="Mac2" u="1"/>
        <s v="G.D. Shinn" u="1"/>
        <s v="Linda Hutchens1" u="1"/>
        <s v="Zac4" u="1"/>
        <s v="Linda Hutchens2" u="1"/>
        <s v="Linda" u="1"/>
        <s v="Zac" u="1"/>
        <s v="Joe Gwiazdon" u="1"/>
        <s v="Coby" u="1"/>
        <s v="Mike Casey" u="1"/>
        <s v="Joe Hutchens" u="1"/>
        <s v="Mac3" u="1"/>
        <s v="Ernie B." u="1"/>
        <s v="Joey G." u="1"/>
        <s v="Brian McDowell 2" u="1"/>
        <s v="Joe Hutchens2" u="1"/>
        <s v="Scott" u="1"/>
        <s v="Joe Hutchens1" u="1"/>
        <s v="Mac4" u="1"/>
        <s v="RT Ray" u="1"/>
        <s v="Caleb Stanton2" u="1"/>
        <s v="Coby Hutchens" u="1"/>
        <s v="Nancy" u="1"/>
        <s v="David W. Baker" u="1"/>
        <s v="Caleb Stanton" u="1"/>
        <s v="Rob W." u="1"/>
        <s v="Mac" u="1"/>
      </sharedItems>
    </cacheField>
    <cacheField name="Phone Number" numFmtId="0">
      <sharedItems containsNonDate="0" containsString="0" containsBlank="1"/>
    </cacheField>
    <cacheField name="Pick Column 1.1" numFmtId="0">
      <sharedItems containsBlank="1"/>
    </cacheField>
    <cacheField name="Pick Column 1.2" numFmtId="0">
      <sharedItems containsBlank="1"/>
    </cacheField>
    <cacheField name="Pick Column 2.1" numFmtId="0">
      <sharedItems containsBlank="1"/>
    </cacheField>
    <cacheField name="Pick Column 2.2" numFmtId="0">
      <sharedItems containsBlank="1"/>
    </cacheField>
    <cacheField name="Pick Column 2.3" numFmtId="0">
      <sharedItems containsBlank="1"/>
    </cacheField>
    <cacheField name="Col 1.1 Score" numFmtId="0">
      <sharedItems containsMixedTypes="1" containsNumber="1" containsInteger="1" minValue="271" maxValue="999"/>
    </cacheField>
    <cacheField name="Col 1.2 Score" numFmtId="0">
      <sharedItems containsMixedTypes="1" containsNumber="1" containsInteger="1" minValue="262" maxValue="999"/>
    </cacheField>
    <cacheField name="Col 2.1 Score" numFmtId="0">
      <sharedItems containsMixedTypes="1" containsNumber="1" containsInteger="1" minValue="267" maxValue="999"/>
    </cacheField>
    <cacheField name="Col 2.2 Score" numFmtId="0">
      <sharedItems containsMixedTypes="1" containsNumber="1" containsInteger="1" minValue="265" maxValue="999"/>
    </cacheField>
    <cacheField name="Col 2.3 Score" numFmtId="0">
      <sharedItems containsMixedTypes="1" containsNumber="1" containsInteger="1" minValue="265" maxValue="999"/>
    </cacheField>
    <cacheField name="Final Score (w/dropped)" numFmtId="0">
      <sharedItems containsSemiMixedTypes="0" containsString="0" containsNumber="1" containsInteger="1" minValue="1077" maxValue="999999"/>
    </cacheField>
    <cacheField name="Rank" numFmtId="0">
      <sharedItems containsSemiMixedTypes="0" containsString="0" containsNumber="1" containsInteger="1" minValue="1" maxValue="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s v="Jordan Spieth"/>
    <s v="Hideki Matsuyama"/>
    <s v="Denny McCarthy"/>
    <s v="Webb Simpson"/>
    <s v="Chris Kirk"/>
    <n v="999"/>
    <n v="273"/>
    <n v="271"/>
    <n v="999"/>
    <n v="265"/>
    <n v="9999"/>
    <n v="7"/>
  </r>
  <r>
    <x v="1"/>
    <m/>
    <s v="Hideki Matsuyama"/>
    <s v="Tom Hoge"/>
    <s v="Matt Kuchar"/>
    <s v="Christiaan Bezuidenhout"/>
    <s v="Chris Kirk"/>
    <n v="273"/>
    <n v="272"/>
    <n v="267"/>
    <n v="999"/>
    <n v="265"/>
    <n v="1077"/>
    <n v="1"/>
  </r>
  <r>
    <x v="2"/>
    <m/>
    <s v="Sungjae Im"/>
    <s v="Tom Kim"/>
    <s v="Denny McCarthy"/>
    <s v="Emiliano Grillo"/>
    <s v="Matt Kuchar"/>
    <n v="999"/>
    <n v="999"/>
    <n v="271"/>
    <n v="999"/>
    <n v="267"/>
    <n v="9999"/>
    <n v="7"/>
  </r>
  <r>
    <x v="3"/>
    <m/>
    <s v="Tom Kim"/>
    <s v="Brian Harman"/>
    <s v="Gary Woodland"/>
    <s v="Matt Kuchar"/>
    <s v="Kurt Kitayama"/>
    <n v="999"/>
    <n v="271"/>
    <n v="999"/>
    <n v="267"/>
    <n v="279"/>
    <n v="9999"/>
    <n v="7"/>
  </r>
  <r>
    <x v="4"/>
    <m/>
    <s v="Sungjae Im"/>
    <s v="Jordan Spieth"/>
    <s v="Christiaan Bezuidenhout"/>
    <s v="Webb Simpson"/>
    <s v="Brendan Steele"/>
    <n v="999"/>
    <n v="999"/>
    <n v="999"/>
    <n v="999"/>
    <n v="273"/>
    <n v="9999"/>
    <n v="7"/>
  </r>
  <r>
    <x v="5"/>
    <m/>
    <s v="Hideki Matsuyama"/>
    <s v="Adam Scott"/>
    <s v="Mackenzie Hughes"/>
    <s v="Chris Kirk"/>
    <s v="Zach Johnson"/>
    <n v="273"/>
    <n v="269"/>
    <n v="999"/>
    <n v="265"/>
    <n v="281"/>
    <n v="1088"/>
    <n v="3"/>
  </r>
  <r>
    <x v="6"/>
    <m/>
    <s v="Jordan Spieth"/>
    <s v="Corey Conners"/>
    <s v="Patton Kizzire"/>
    <s v="Ryan Palmer"/>
    <s v="Lucas Glover"/>
    <n v="999"/>
    <n v="268"/>
    <n v="282"/>
    <n v="271"/>
    <n v="999"/>
    <n v="9999"/>
    <n v="7"/>
  </r>
  <r>
    <x v="7"/>
    <m/>
    <s v="Sungjae Im"/>
    <s v="Tom Kim"/>
    <s v="Denny McCarthy"/>
    <s v="Emiliano Grillo"/>
    <s v="Matt Kuchar"/>
    <n v="999"/>
    <n v="999"/>
    <n v="271"/>
    <n v="999"/>
    <n v="267"/>
    <n v="9999"/>
    <n v="7"/>
  </r>
  <r>
    <x v="8"/>
    <m/>
    <s v="Hideki Matsuyama"/>
    <s v="Russell Henley"/>
    <s v="Gary Woodland"/>
    <s v="Christiaan Bezuidenhout"/>
    <s v="Alex Smalley"/>
    <n v="273"/>
    <n v="271"/>
    <n v="999"/>
    <n v="999"/>
    <n v="999"/>
    <n v="9999"/>
    <n v="7"/>
  </r>
  <r>
    <x v="9"/>
    <m/>
    <s v="Jordan Spieth"/>
    <s v="Keegan Bradley"/>
    <s v="Mackenzie Hughes"/>
    <s v="Webb Simpson"/>
    <s v="Adam Svensson"/>
    <n v="999"/>
    <n v="999"/>
    <n v="999"/>
    <n v="999"/>
    <n v="272"/>
    <n v="9999"/>
    <n v="7"/>
  </r>
  <r>
    <x v="10"/>
    <m/>
    <s v="Sungjae Im"/>
    <s v="Hideki Matsuyama"/>
    <s v="Emiliano Grillo"/>
    <s v="Gary Woodland"/>
    <s v="Brendan Steele"/>
    <n v="999"/>
    <n v="273"/>
    <n v="999"/>
    <n v="999"/>
    <n v="273"/>
    <n v="9999"/>
    <n v="7"/>
  </r>
  <r>
    <x v="11"/>
    <m/>
    <s v="Jordan Spieth"/>
    <s v="Tom Hoge"/>
    <s v="Emiliano Grillo"/>
    <s v="Adam Svensson"/>
    <s v="Brendon Todd"/>
    <n v="999"/>
    <n v="272"/>
    <n v="999"/>
    <n v="272"/>
    <n v="269"/>
    <n v="9999"/>
    <n v="7"/>
  </r>
  <r>
    <x v="12"/>
    <m/>
    <s v="Tom Kim"/>
    <s v="Corey Conners"/>
    <s v="Matt Kuchar"/>
    <s v="Kurt Kitayama"/>
    <s v="Kevin Streelman"/>
    <n v="999"/>
    <n v="268"/>
    <n v="267"/>
    <n v="279"/>
    <n v="999"/>
    <n v="9999"/>
    <n v="7"/>
  </r>
  <r>
    <x v="13"/>
    <m/>
    <s v="Jordan Spieth"/>
    <s v="Matt Kuchar"/>
    <s v="Brendan Steele"/>
    <s v="Kevin Yu"/>
    <s v="Zach Johnson"/>
    <n v="999"/>
    <n v="267"/>
    <n v="273"/>
    <n v="269"/>
    <n v="281"/>
    <n v="1090"/>
    <n v="4"/>
  </r>
  <r>
    <x v="14"/>
    <m/>
    <s v="Tom Kim"/>
    <s v="Jordan Spieth"/>
    <s v="Matt Kuchar"/>
    <s v="Christiaan Bezuidenhout"/>
    <s v="Mackenzie Hughes"/>
    <n v="999"/>
    <n v="999"/>
    <n v="267"/>
    <n v="999"/>
    <n v="999"/>
    <n v="9999"/>
    <n v="7"/>
  </r>
  <r>
    <x v="15"/>
    <m/>
    <s v="Hideki Matsuyama"/>
    <s v="Si Woo Kim"/>
    <s v="Matt Kuchar"/>
    <s v="Webb Simpson"/>
    <s v="Patton Kizzire"/>
    <n v="273"/>
    <n v="262"/>
    <n v="267"/>
    <n v="999"/>
    <n v="282"/>
    <n v="1084"/>
    <n v="2"/>
  </r>
  <r>
    <x v="16"/>
    <m/>
    <s v="Sungjae Im"/>
    <s v="Hideki Matsuyama"/>
    <s v="Denny McCarthy"/>
    <s v="Christiaan Bezuidenhout"/>
    <s v="Mackenzie Hughes"/>
    <n v="999"/>
    <n v="273"/>
    <n v="271"/>
    <n v="999"/>
    <n v="999"/>
    <n v="9999"/>
    <n v="7"/>
  </r>
  <r>
    <x v="17"/>
    <m/>
    <s v="Jordan Spieth"/>
    <s v="J.J. Spaun"/>
    <s v="Gary Woodland"/>
    <s v="Aaron Rai"/>
    <s v="Patton Kizzire"/>
    <n v="999"/>
    <n v="268"/>
    <n v="999"/>
    <n v="275"/>
    <n v="282"/>
    <n v="9999"/>
    <n v="7"/>
  </r>
  <r>
    <x v="18"/>
    <m/>
    <s v="Jordan Spieth"/>
    <s v="Russell Henley"/>
    <s v="Emiliano Grillo"/>
    <s v="Matt Kuchar"/>
    <s v="Christiaan Bezuidenhout"/>
    <n v="999"/>
    <n v="271"/>
    <n v="999"/>
    <n v="267"/>
    <n v="999"/>
    <n v="9999"/>
    <n v="7"/>
  </r>
  <r>
    <x v="19"/>
    <m/>
    <s v="Brian Harman"/>
    <s v="Tom Hoge"/>
    <s v="Denny McCarthy"/>
    <s v="Kurt Kitayama"/>
    <s v="Alex Smalley"/>
    <n v="271"/>
    <n v="272"/>
    <n v="271"/>
    <n v="279"/>
    <n v="999"/>
    <n v="1093"/>
    <n v="5"/>
  </r>
  <r>
    <x v="20"/>
    <m/>
    <s v="Russell Henley"/>
    <s v="Andrew Putnam"/>
    <s v="Emiliano Grillo"/>
    <s v="Christiaan Bezuidenhout"/>
    <s v="Adam Svensson"/>
    <n v="271"/>
    <n v="266"/>
    <n v="999"/>
    <n v="999"/>
    <n v="272"/>
    <n v="9999"/>
    <n v="7"/>
  </r>
  <r>
    <x v="21"/>
    <m/>
    <s v="Jordan Spieth"/>
    <s v="Hideki Matsuyama"/>
    <s v="Brendan Steele"/>
    <s v="Russell Knox"/>
    <s v="Patton Kizzire"/>
    <n v="999"/>
    <n v="273"/>
    <n v="273"/>
    <n v="277"/>
    <n v="282"/>
    <n v="1105"/>
    <n v="6"/>
  </r>
  <r>
    <x v="22"/>
    <m/>
    <s v="Jordan Spieth"/>
    <s v="Billy Horschel"/>
    <s v="Christiaan Bezuidenhout"/>
    <s v="Webb Simpson"/>
    <s v="Adam Svensson"/>
    <n v="999"/>
    <n v="999"/>
    <n v="999"/>
    <n v="999"/>
    <n v="272"/>
    <n v="9999"/>
    <n v="7"/>
  </r>
  <r>
    <x v="23"/>
    <m/>
    <s v="Sungjae Im"/>
    <s v="Tom Kim"/>
    <s v="Denny McCarthy"/>
    <s v="Emiliano Grillo"/>
    <s v="Matt Kuchar"/>
    <n v="999"/>
    <n v="999"/>
    <n v="271"/>
    <n v="999"/>
    <n v="267"/>
    <n v="9999"/>
    <n v="7"/>
  </r>
  <r>
    <x v="24"/>
    <m/>
    <s v="Sungjae Im"/>
    <s v="Jordan Spieth"/>
    <s v="Denny McCarthy"/>
    <s v="Emiliano Grillo"/>
    <s v="Matt Kuchar"/>
    <n v="999"/>
    <n v="999"/>
    <n v="271"/>
    <n v="999"/>
    <n v="267"/>
    <n v="9999"/>
    <n v="7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  <r>
    <x v="25"/>
    <m/>
    <m/>
    <m/>
    <m/>
    <m/>
    <m/>
    <e v="#N/A"/>
    <e v="#N/A"/>
    <e v="#N/A"/>
    <e v="#N/A"/>
    <e v="#N/A"/>
    <n v="999999"/>
    <n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RankingTable" cacheId="3" applyNumberFormats="0" applyBorderFormats="0" applyFontFormats="0" applyPatternFormats="0" applyAlignmentFormats="0" applyWidthHeightFormats="1" dataCaption="Values" showMissing="0" updatedVersion="8" minRefreshableVersion="3" rowGrandTotals="0" colGrandTotals="0" itemPrintTitles="1" createdVersion="6" indent="0" showHeaders="0" outline="1" outlineData="1" multipleFieldFilters="0" rowHeaderCaption="Names">
  <location ref="A3:C29" firstHeaderRow="0" firstDataRow="1" firstDataCol="1"/>
  <pivotFields count="14">
    <pivotField axis="axisRow" compact="0" outline="0" subtotalTop="0" showAll="0" sortType="ascending" defaultSubtotal="0">
      <items count="90">
        <item m="1" x="43"/>
        <item m="1" x="29"/>
        <item m="1" x="87"/>
        <item m="1" x="86"/>
        <item m="1" x="64"/>
        <item m="1" x="38"/>
        <item m="1" x="30"/>
        <item m="1" x="36"/>
        <item m="1" x="88"/>
        <item m="1" x="32"/>
        <item m="1" x="82"/>
        <item x="25"/>
        <item m="1" x="79"/>
        <item m="1" x="89"/>
        <item m="1" x="31"/>
        <item m="1" x="70"/>
        <item m="1" x="39"/>
        <item m="1" x="60"/>
        <item m="1" x="49"/>
        <item m="1" x="73"/>
        <item m="1" x="57"/>
        <item m="1" x="45"/>
        <item m="1" x="46"/>
        <item m="1" x="56"/>
        <item m="1" x="84"/>
        <item m="1" x="44"/>
        <item m="1" x="72"/>
        <item m="1" x="76"/>
        <item m="1" x="75"/>
        <item m="1" x="40"/>
        <item m="1" x="62"/>
        <item m="1" x="69"/>
        <item m="1" x="35"/>
        <item m="1" x="80"/>
        <item m="1" x="78"/>
        <item m="1" x="65"/>
        <item m="1" x="67"/>
        <item m="1" x="63"/>
        <item m="1" x="74"/>
        <item m="1" x="81"/>
        <item m="1" x="50"/>
        <item m="1" x="52"/>
        <item m="1" x="53"/>
        <item m="1" x="55"/>
        <item m="1" x="58"/>
        <item m="1" x="61"/>
        <item m="1" x="33"/>
        <item m="1" x="34"/>
        <item m="1" x="41"/>
        <item m="1" x="51"/>
        <item m="1" x="66"/>
        <item m="1" x="37"/>
        <item m="1" x="83"/>
        <item m="1" x="42"/>
        <item m="1" x="68"/>
        <item m="1" x="71"/>
        <item m="1" x="47"/>
        <item m="1" x="27"/>
        <item m="1" x="59"/>
        <item m="1" x="77"/>
        <item m="1" x="28"/>
        <item m="1" x="48"/>
        <item m="1" x="26"/>
        <item m="1" x="54"/>
        <item m="1" x="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outline="0" showAll="0" sortType="ascending"/>
    <pivotField subtotalTop="0" multipleItemSelectionAllowed="1" defaultSubtotal="0"/>
  </pivotFields>
  <rowFields count="1">
    <field x="0"/>
  </rowFields>
  <rowItems count="26">
    <i>
      <x v="66"/>
    </i>
    <i>
      <x v="80"/>
    </i>
    <i>
      <x v="70"/>
    </i>
    <i>
      <x v="78"/>
    </i>
    <i>
      <x v="84"/>
    </i>
    <i>
      <x v="86"/>
    </i>
    <i>
      <x v="76"/>
    </i>
    <i>
      <x v="68"/>
    </i>
    <i>
      <x v="71"/>
    </i>
    <i>
      <x v="81"/>
    </i>
    <i>
      <x v="73"/>
    </i>
    <i>
      <x v="82"/>
    </i>
    <i>
      <x v="75"/>
    </i>
    <i>
      <x v="83"/>
    </i>
    <i>
      <x v="77"/>
    </i>
    <i>
      <x v="69"/>
    </i>
    <i>
      <x v="79"/>
    </i>
    <i>
      <x v="85"/>
    </i>
    <i>
      <x v="74"/>
    </i>
    <i>
      <x v="65"/>
    </i>
    <i>
      <x v="67"/>
    </i>
    <i>
      <x v="87"/>
    </i>
    <i>
      <x v="72"/>
    </i>
    <i>
      <x v="89"/>
    </i>
    <i>
      <x v="88"/>
    </i>
    <i>
      <x v="11"/>
    </i>
  </rowItems>
  <colFields count="1">
    <field x="-2"/>
  </colFields>
  <colItems count="2">
    <i>
      <x/>
    </i>
    <i i="1">
      <x v="1"/>
    </i>
  </colItems>
  <dataFields count="2">
    <dataField name="Final Score" fld="12" baseField="0" baseItem="0"/>
    <dataField name="Ranking" fld="12" baseField="0" baseItem="0">
      <extLst>
        <ext xmlns:x14="http://schemas.microsoft.com/office/spreadsheetml/2009/9/main" uri="{E15A36E0-9728-4e99-A89B-3F7291B0FE68}">
          <x14:dataField pivotShowAs="rankAscending"/>
        </ext>
      </extLst>
    </dataField>
  </dataFields>
  <formats count="16">
    <format dxfId="52">
      <pivotArea type="all" dataOnly="0" outline="0" fieldPosition="0"/>
    </format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-2" type="button" dataOnly="0" labelOnly="1" outline="0" axis="axisCol" fieldPosition="0"/>
    </format>
    <format dxfId="48">
      <pivotArea type="topRight" dataOnly="0" labelOnly="1" outline="0" fieldPosition="0"/>
    </format>
    <format dxfId="47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0" count="0"/>
        </references>
      </pivotArea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">
      <pivotArea type="origin" dataOnly="0" labelOnly="1" outline="0" fieldPosition="0"/>
    </format>
    <format dxfId="43">
      <pivotArea field="0" type="button" dataOnly="0" labelOnly="1" outline="0" axis="axisRow" fieldPosition="0"/>
    </format>
    <format dxfId="42">
      <pivotArea dataOnly="0" labelOnly="1" outline="0" fieldPosition="0">
        <references count="1">
          <reference field="0" count="0"/>
        </references>
      </pivotArea>
    </format>
    <format dxfId="41">
      <pivotArea field="0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outline="0" fieldPosition="0">
        <references count="1">
          <reference field="0" count="46" selected="0">
            <x v="0"/>
            <x v="1"/>
            <x v="3"/>
            <x v="4"/>
            <x v="5"/>
            <x v="6"/>
            <x v="7"/>
            <x v="8"/>
            <x v="9"/>
            <x v="10"/>
            <x v="12"/>
            <x v="14"/>
            <x v="15"/>
            <x v="17"/>
            <x v="18"/>
            <x v="22"/>
            <x v="23"/>
            <x v="24"/>
            <x v="25"/>
            <x v="26"/>
            <x v="27"/>
            <x v="28"/>
            <x v="29"/>
            <x v="30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</reference>
        </references>
      </pivotArea>
    </format>
    <format dxfId="3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2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300-000000000000}" autoFormatId="16" applyNumberFormats="0" applyBorderFormats="0" applyFontFormats="0" applyPatternFormats="0" applyAlignmentFormats="0" applyWidthHeightFormats="0">
  <queryTableRefresh nextId="96" unboundColumnsRight="4">
    <queryTableFields count="13">
      <queryTableField id="80" name="Rank" tableColumnId="9"/>
      <queryTableField id="81" name="Name" tableColumnId="10"/>
      <queryTableField id="82" name="Round 1" tableColumnId="11"/>
      <queryTableField id="83" name="Round 2" tableColumnId="12"/>
      <queryTableField id="84" name="Round 3" tableColumnId="13"/>
      <queryTableField id="85" name="Round 4" tableColumnId="14"/>
      <queryTableField id="86" name="Total" tableColumnId="15"/>
      <queryTableField id="87" name="Thru" tableColumnId="16"/>
      <queryTableField id="63" name="Column9" tableColumnId="19"/>
      <queryTableField id="17" dataBound="0" tableColumnId="18"/>
      <queryTableField id="18" dataBound="0" tableColumnId="23"/>
      <queryTableField id="19" dataBound="0" tableColumnId="24"/>
      <queryTableField id="20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700-000001000000}" autoFormatId="16" applyNumberFormats="0" applyBorderFormats="0" applyFontFormats="0" applyPatternFormats="0" applyAlignmentFormats="0" applyWidthHeightFormats="0">
  <queryTableRefresh nextId="19">
    <queryTableFields count="2">
      <queryTableField id="17" name="Column1" tableColumnId="1"/>
      <queryTableField id="18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356E693-C01F-49D3-BCE8-2EC3B150AE58}" autoFormatId="16" applyNumberFormats="0" applyBorderFormats="0" applyFontFormats="0" applyPatternFormats="0" applyAlignmentFormats="0" applyWidthHeightFormats="0">
  <queryTableRefresh nextId="10">
    <queryTableFields count="5">
      <queryTableField id="5" name="DATE" tableColumnId="5"/>
      <queryTableField id="6" name="TOURNAMENT" tableColumnId="6"/>
      <queryTableField id="7" name="TV" tableColumnId="7"/>
      <queryTableField id="8" name="DEFENDING CHAMP" tableColumnId="8"/>
      <queryTableField id="9" name="PURS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2890D9A-D231-435A-AECA-D5532AC59924}" autoFormatId="16" applyNumberFormats="0" applyBorderFormats="0" applyFontFormats="0" applyPatternFormats="0" applyAlignmentFormats="0" applyWidthHeightFormats="0">
  <queryTableRefresh nextId="13">
    <queryTableFields count="5">
      <queryTableField id="11" name="DATE.1" tableColumnId="11"/>
      <queryTableField id="7" name="TOURNAMENT" tableColumnId="7"/>
      <queryTableField id="8" name="TV" tableColumnId="8"/>
      <queryTableField id="9" name="DEFENDING CHAMP" tableColumnId="9"/>
      <queryTableField id="10" name="PURSE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N102" totalsRowShown="0" headerRowDxfId="32" headerRowBorderDxfId="31">
  <autoFilter ref="A2:N102" xr:uid="{00000000-0009-0000-0100-000002000000}"/>
  <tableColumns count="14">
    <tableColumn id="1" xr3:uid="{00000000-0010-0000-0000-000001000000}" name="Name"/>
    <tableColumn id="14" xr3:uid="{00000000-0010-0000-0000-00000E000000}" name="Phone Number" dataDxfId="30"/>
    <tableColumn id="2" xr3:uid="{00000000-0010-0000-0000-000002000000}" name="Pick Column 1.1"/>
    <tableColumn id="3" xr3:uid="{00000000-0010-0000-0000-000003000000}" name="Pick Column 1.2"/>
    <tableColumn id="4" xr3:uid="{00000000-0010-0000-0000-000004000000}" name="Pick Column 2.1"/>
    <tableColumn id="5" xr3:uid="{00000000-0010-0000-0000-000005000000}" name="Pick Column 2.2"/>
    <tableColumn id="6" xr3:uid="{00000000-0010-0000-0000-000006000000}" name="Pick Column 2.3" dataDxfId="29"/>
    <tableColumn id="7" xr3:uid="{00000000-0010-0000-0000-000007000000}" name="Col 1.1 Score" dataDxfId="28">
      <calculatedColumnFormula>IF(INDEX(FinalScore, MATCH(Table2[[#This Row],[Pick Column 1.1]],GolferName,0)) = "CUT", 999, INT(INDEX(FinalScore, MATCH(Table2[[#This Row],[Pick Column 1.1]],GolferName,0))))</calculatedColumnFormula>
    </tableColumn>
    <tableColumn id="8" xr3:uid="{00000000-0010-0000-0000-000008000000}" name="Col 1.2 Score" dataDxfId="27">
      <calculatedColumnFormula>IF(INDEX(FinalScore, MATCH(Table2[[#This Row],[Pick Column 1.2]],GolferName,0)) = "CUT", 999, INT(INDEX(FinalScore, MATCH(Table2[[#This Row],[Pick Column 1.2]],GolferName,0))))</calculatedColumnFormula>
    </tableColumn>
    <tableColumn id="9" xr3:uid="{00000000-0010-0000-0000-000009000000}" name="Col 2.1 Score" dataDxfId="26">
      <calculatedColumnFormula>IF(INDEX(FinalScore, MATCH(Table2[[#This Row],[Pick Column 2.1]],GolferName,0)) = "CUT", 999, INT(INDEX(FinalScore, MATCH(Table2[[#This Row],[Pick Column 2.1]],GolferName,0))))</calculatedColumnFormula>
    </tableColumn>
    <tableColumn id="10" xr3:uid="{00000000-0010-0000-0000-00000A000000}" name="Col 2.2 Score" dataDxfId="25">
      <calculatedColumnFormula>IF(INDEX(FinalScore, MATCH(Table2[[#This Row],[Pick Column 2.2]],GolferName,0)) = "CUT", 999, INT(INDEX(FinalScore, MATCH(Table2[[#This Row],[Pick Column 2.2]],GolferName,0))))</calculatedColumnFormula>
    </tableColumn>
    <tableColumn id="11" xr3:uid="{00000000-0010-0000-0000-00000B000000}" name="Col 2.3 Score" dataDxfId="24">
      <calculatedColumnFormula>IF(INDEX(FinalScore, MATCH(Table2[[#This Row],[Pick Column 2.3]],GolferName,0)) = "CUT", 999, INT(INDEX(FinalScore, MATCH(Table2[[#This Row],[Pick Column 2.3]],GolferName,0))))</calculatedColumnFormula>
    </tableColumn>
    <tableColumn id="12" xr3:uid="{00000000-0010-0000-0000-00000C000000}" name="Final Score (w/dropped)" dataDxfId="23">
      <calculatedColumnFormula>_xlfn.IFNA(IF(COUNTIF(Table2[[#This Row],[Col 1.1 Score]:[Col 2.3 Score]], 999)&gt;1, 9999, SUM(Table2[[#This Row],[Col 1.1 Score]:[Col 2.3 Score]])-MAX(Table2[[#This Row],[Col 1.1 Score]:[Col 2.3 Score]])),999999)</calculatedColumnFormula>
    </tableColumn>
    <tableColumn id="13" xr3:uid="{00000000-0010-0000-0000-00000D000000}" name="Rank" dataDxfId="22">
      <calculatedColumnFormula>_xlfn.RANK.EQ(Table2[[#This Row],[Final Score (w/dropped)]],Table2[Final Score (w/dropped)],1)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he_Open" displayName="The_Open" ref="A1:M145" tableType="queryTable" totalsRowShown="0">
  <autoFilter ref="A1:M145" xr:uid="{668BAFC3-12B6-4903-AEB9-43E95A897C06}"/>
  <tableColumns count="13">
    <tableColumn id="9" xr3:uid="{C3DE1376-A65F-48C4-B636-E3CE21553FB0}" uniqueName="9" name="Rank" queryTableFieldId="80" dataDxfId="21"/>
    <tableColumn id="10" xr3:uid="{178E7EC2-10B0-41E5-A5CD-FCCBEBD0C0A8}" uniqueName="10" name="Name" queryTableFieldId="81" dataDxfId="20"/>
    <tableColumn id="11" xr3:uid="{D97C24C2-6273-4C8C-ADAA-01CF5DB6AC99}" uniqueName="11" name="Round 1" queryTableFieldId="82" dataDxfId="19"/>
    <tableColumn id="12" xr3:uid="{D8DD5C23-A933-415C-AB7A-AA28E68C5E72}" uniqueName="12" name="Round 2" queryTableFieldId="83" dataDxfId="18"/>
    <tableColumn id="13" xr3:uid="{66B67727-C1C5-49B6-9F6A-B98876A87C0C}" uniqueName="13" name="Round 3" queryTableFieldId="84" dataDxfId="17"/>
    <tableColumn id="14" xr3:uid="{04116501-1969-44F6-BC9F-9BCC6DBFCD43}" uniqueName="14" name="Round 4" queryTableFieldId="85" dataDxfId="16"/>
    <tableColumn id="15" xr3:uid="{0FD5CC0F-4245-4299-93C6-240A0E9112C4}" uniqueName="15" name="Total" queryTableFieldId="86" dataDxfId="15"/>
    <tableColumn id="16" xr3:uid="{78193E94-E094-45CE-A2EC-014B7E6E343F}" uniqueName="16" name="Thru" queryTableFieldId="87" dataDxfId="14"/>
    <tableColumn id="19" xr3:uid="{5263467F-382E-48F6-A630-33C88AE4D402}" uniqueName="19" name="Column9" queryTableFieldId="63" dataDxfId="13"/>
    <tableColumn id="18" xr3:uid="{00000000-0010-0000-0100-000012000000}" uniqueName="18" name="Column2" queryTableFieldId="17"/>
    <tableColumn id="23" xr3:uid="{00000000-0010-0000-0100-000017000000}" uniqueName="23" name="Golfer Name" queryTableFieldId="18" dataDxfId="12">
      <calculatedColumnFormula>The_Open[[#This Row],[Name]]</calculatedColumnFormula>
    </tableColumn>
    <tableColumn id="24" xr3:uid="{00000000-0010-0000-0100-000018000000}" uniqueName="24" name="Final Score" queryTableFieldId="19" dataDxfId="0">
      <calculatedColumnFormula>IF(The_Open[[#This Row],[Cut]]="CUT", "CUT", The_Open[[#This Row],[Round 1]]+The_Open[[#This Row],[Round 2]]+The_Open[[#This Row],[Round 3]]+The_Open[[#This Row],[Round 4]])</calculatedColumnFormula>
    </tableColumn>
    <tableColumn id="25" xr3:uid="{00000000-0010-0000-0100-000019000000}" uniqueName="25" name="Cut" queryTableFieldId="20" dataDxfId="11">
      <calculatedColumnFormula>IF(The_Open[[#This Row],[Total]]="MC", "CUT", 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gasOdds" displayName="VegasOdds" ref="A1:B183" tableType="queryTable" totalsRowShown="0">
  <autoFilter ref="A1:B183" xr:uid="{00000000-0009-0000-0100-000003000000}"/>
  <tableColumns count="2">
    <tableColumn id="1" xr3:uid="{E01F3AE5-A17A-4162-9934-5341691AACAE}" uniqueName="1" name="Column1" queryTableFieldId="17" dataDxfId="10"/>
    <tableColumn id="2" xr3:uid="{FBF356D5-E089-4627-A6AF-5FB59A98A48E}" uniqueName="2" name="Column2" queryTableFieldId="18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091DC-43E4-4944-B20A-339378B51857}" name="Current_Tournament" displayName="Current_Tournament" ref="A1:E2" tableType="queryTable" totalsRowShown="0">
  <autoFilter ref="A1:E2" xr:uid="{D431FAFE-DB95-48B5-ADD9-4B9025491723}"/>
  <tableColumns count="5">
    <tableColumn id="5" xr3:uid="{E4A6BB9E-EA7B-42D7-A05D-6295DB35B6E9}" uniqueName="5" name="DATE" queryTableFieldId="5" dataDxfId="8"/>
    <tableColumn id="6" xr3:uid="{92F2BC49-EC15-4098-9A28-0805F19D5595}" uniqueName="6" name="TOURNAMENT" queryTableFieldId="6" dataDxfId="7"/>
    <tableColumn id="7" xr3:uid="{F9BA92AC-1277-4581-9448-C7F892E3F053}" uniqueName="7" name="TV" queryTableFieldId="7" dataDxfId="6"/>
    <tableColumn id="8" xr3:uid="{04C8433C-B203-46B9-B49A-06257C4C772E}" uniqueName="8" name="DEFENDING CHAMP" queryTableFieldId="8" dataDxfId="5"/>
    <tableColumn id="9" xr3:uid="{A6C2EA79-4CB7-44F7-86F3-02515B280905}" uniqueName="9" name="PURSE" queryTableFieldId="9" dataCellStyle="Currency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08AD8E-D6D4-4673-9EBE-FE250C1EAE99}" name="PGA_Schedule" displayName="PGA_Schedule" ref="A1:E48" tableType="queryTable" totalsRowShown="0">
  <autoFilter ref="A1:E48" xr:uid="{BAA61946-F5E7-491D-8091-5EE981CABAA6}"/>
  <tableColumns count="5">
    <tableColumn id="11" xr3:uid="{04579028-DBA1-4F28-9A84-7C1835548DDF}" uniqueName="11" name="DATE" queryTableFieldId="11" dataDxfId="4"/>
    <tableColumn id="7" xr3:uid="{E21F1FB3-2FA8-4F1C-909B-158031605119}" uniqueName="7" name="TOURNAMENT" queryTableFieldId="7" dataDxfId="3"/>
    <tableColumn id="8" xr3:uid="{509EAC2C-B7AE-4BB2-A357-FF902FEE0735}" uniqueName="8" name="TV" queryTableFieldId="8" dataDxfId="2"/>
    <tableColumn id="9" xr3:uid="{25780429-8CDA-4177-A779-BCA12731DC74}" uniqueName="9" name="DEFENDING CHAMP" queryTableFieldId="9" dataDxfId="1"/>
    <tableColumn id="10" xr3:uid="{376A4A03-0D36-4AA5-B2D7-39E77291E785}" uniqueName="10" name="PURSE" queryTableFieldId="10" dataCellStyle="Currency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scores.nbcsports.com/golf/final.asp?tour=PGA&amp;meta=tru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scott@pinandcue.com" TargetMode="External"/><Relationship Id="rId2" Type="http://schemas.openxmlformats.org/officeDocument/2006/relationships/hyperlink" Target="https://www.espn.com/golf/schedule" TargetMode="External"/><Relationship Id="rId1" Type="http://schemas.openxmlformats.org/officeDocument/2006/relationships/hyperlink" Target="https://pygolf.jacoduplessis.co.za/api" TargetMode="External"/><Relationship Id="rId6" Type="http://schemas.openxmlformats.org/officeDocument/2006/relationships/hyperlink" Target="mailto:pinandcue@hotmail.com" TargetMode="External"/><Relationship Id="rId5" Type="http://schemas.openxmlformats.org/officeDocument/2006/relationships/hyperlink" Target="mailto:mac@pinandcue.com" TargetMode="External"/><Relationship Id="rId4" Type="http://schemas.openxmlformats.org/officeDocument/2006/relationships/hyperlink" Target="mailto:mike@pinandcue.co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://golfodds.com/weekly-odds.html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golf.jacoduplessis.co.za/" TargetMode="External"/><Relationship Id="rId1" Type="http://schemas.openxmlformats.org/officeDocument/2006/relationships/hyperlink" Target="http://www.vegasinsider.com/golf/odds/futures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ankings">
    <tabColor rgb="FFFF0000"/>
    <pageSetUpPr fitToPage="1"/>
  </sheetPr>
  <dimension ref="A1:H50"/>
  <sheetViews>
    <sheetView zoomScale="70" zoomScaleNormal="70" zoomScalePageLayoutView="70" workbookViewId="0">
      <selection activeCell="B3" sqref="B3"/>
    </sheetView>
  </sheetViews>
  <sheetFormatPr defaultColWidth="8.86328125" defaultRowHeight="21" x14ac:dyDescent="0.65"/>
  <cols>
    <col min="1" max="1" width="32.6640625" style="30" customWidth="1"/>
    <col min="2" max="2" width="19.33203125" style="40" customWidth="1"/>
    <col min="3" max="3" width="10.53125" style="30" hidden="1" customWidth="1"/>
    <col min="4" max="4" width="1.1328125" style="30" customWidth="1"/>
    <col min="5" max="5" width="19.33203125" style="30" customWidth="1"/>
    <col min="6" max="6" width="3.86328125" style="30" customWidth="1"/>
    <col min="7" max="7" width="16.6640625" style="30" bestFit="1" customWidth="1"/>
    <col min="8" max="8" width="15.1328125" style="30" customWidth="1"/>
    <col min="9" max="13" width="16.6640625" style="30" bestFit="1" customWidth="1"/>
    <col min="14" max="15" width="10.6640625" style="30" bestFit="1" customWidth="1"/>
    <col min="16" max="16384" width="8.86328125" style="30"/>
  </cols>
  <sheetData>
    <row r="1" spans="1:8" ht="44.65" x14ac:dyDescent="1.1499999999999999">
      <c r="A1" s="58" t="str">
        <f ca="1">MID(CELL("filename",A1),FIND("[",CELL("filename",A1))+1,FIND("]", CELL("filename",A1))-FIND("[",CELL("filename",A1))-6)</f>
        <v>SONY OPEN</v>
      </c>
      <c r="B1" s="58"/>
      <c r="C1" s="58"/>
      <c r="D1" s="58"/>
      <c r="E1" s="58"/>
      <c r="F1" s="58"/>
      <c r="G1" s="58"/>
      <c r="H1" s="58"/>
    </row>
    <row r="2" spans="1:8" ht="32.450000000000003" customHeight="1" x14ac:dyDescent="0.65">
      <c r="B2" s="59" t="s">
        <v>499</v>
      </c>
      <c r="C2" s="59"/>
      <c r="D2" s="59"/>
      <c r="E2" s="59"/>
    </row>
    <row r="3" spans="1:8" x14ac:dyDescent="0.65">
      <c r="B3" s="32" t="s">
        <v>30</v>
      </c>
      <c r="C3" s="32" t="s">
        <v>32</v>
      </c>
      <c r="D3" s="50"/>
      <c r="E3" s="43" t="s">
        <v>18</v>
      </c>
      <c r="G3" s="60" t="s">
        <v>62</v>
      </c>
      <c r="H3" s="60"/>
    </row>
    <row r="4" spans="1:8" x14ac:dyDescent="0.65">
      <c r="A4" s="31" t="s">
        <v>415</v>
      </c>
      <c r="B4" s="71">
        <v>1077</v>
      </c>
      <c r="C4" s="70">
        <v>1</v>
      </c>
      <c r="D4" s="46"/>
      <c r="E4" s="48">
        <f>INDEX(Table2[Rank],MATCH(Rankings!A4,Table2[Name],0))</f>
        <v>1</v>
      </c>
      <c r="G4" s="33" t="s">
        <v>34</v>
      </c>
      <c r="H4" s="42">
        <f>IF(G4="","",(EntryCount*EntryFee)*VLOOKUP(PayoutCount,PayoutTable,2))</f>
        <v>81.25</v>
      </c>
    </row>
    <row r="5" spans="1:8" x14ac:dyDescent="0.65">
      <c r="A5" s="31" t="s">
        <v>429</v>
      </c>
      <c r="B5" s="71">
        <v>1084</v>
      </c>
      <c r="C5" s="70">
        <v>2</v>
      </c>
      <c r="D5" s="47"/>
      <c r="E5" s="49">
        <f>INDEX(Table2[Rank],MATCH(Rankings!A5,Table2[Name],0))</f>
        <v>2</v>
      </c>
      <c r="G5" s="33" t="s">
        <v>35</v>
      </c>
      <c r="H5" s="42">
        <f>IF(G5="","",(EntryCount*EntryFee)*VLOOKUP(PayoutCount,PayoutTable,3))</f>
        <v>31.25</v>
      </c>
    </row>
    <row r="6" spans="1:8" x14ac:dyDescent="0.65">
      <c r="A6" s="31" t="s">
        <v>419</v>
      </c>
      <c r="B6" s="71">
        <v>1088</v>
      </c>
      <c r="C6" s="70">
        <v>3</v>
      </c>
      <c r="D6" s="47"/>
      <c r="E6" s="49">
        <f>INDEX(Table2[Rank],MATCH(Rankings!A6,Table2[Name],0))</f>
        <v>3</v>
      </c>
      <c r="G6" s="52" t="str">
        <f>IF(EntryCount&gt;20, "3rd Place", "")</f>
        <v>3rd Place</v>
      </c>
      <c r="H6" s="42">
        <f>IF(G6="","",(EntryCount*EntryFee)*VLOOKUP(PayoutCount,PayoutTable,4))</f>
        <v>12.5</v>
      </c>
    </row>
    <row r="7" spans="1:8" x14ac:dyDescent="0.65">
      <c r="A7" s="31" t="s">
        <v>427</v>
      </c>
      <c r="B7" s="71">
        <v>1090</v>
      </c>
      <c r="C7" s="70">
        <v>4</v>
      </c>
      <c r="D7" s="47"/>
      <c r="E7" s="49">
        <f>INDEX(Table2[Rank],MATCH(Rankings!A7,Table2[Name],0))</f>
        <v>4</v>
      </c>
      <c r="G7" s="52" t="str">
        <f>IF(EntryCount&gt;30, "4th Place", "")</f>
        <v/>
      </c>
      <c r="H7" s="42" t="str">
        <f>IF(G7="","",(EntryCount*EntryFee)*VLOOKUP(PayoutCount,PayoutTable,5))</f>
        <v/>
      </c>
    </row>
    <row r="8" spans="1:8" x14ac:dyDescent="0.65">
      <c r="A8" s="31" t="s">
        <v>433</v>
      </c>
      <c r="B8" s="71">
        <v>1093</v>
      </c>
      <c r="C8" s="70">
        <v>5</v>
      </c>
      <c r="D8" s="47"/>
      <c r="E8" s="49">
        <f>INDEX(Table2[Rank],MATCH(Rankings!A8,Table2[Name],0))</f>
        <v>5</v>
      </c>
      <c r="G8" s="52" t="str">
        <f>IF(EntryCount&gt;40, "5th Place", "")</f>
        <v/>
      </c>
      <c r="H8" s="42" t="str">
        <f>IF(G8="","",(EntryCount*EntryFee)*VLOOKUP(PayoutCount,PayoutTable,6))</f>
        <v/>
      </c>
    </row>
    <row r="9" spans="1:8" x14ac:dyDescent="0.65">
      <c r="A9" s="31" t="s">
        <v>435</v>
      </c>
      <c r="B9" s="71">
        <v>1105</v>
      </c>
      <c r="C9" s="70">
        <v>6</v>
      </c>
      <c r="D9" s="47"/>
      <c r="E9" s="49">
        <f>INDEX(Table2[Rank],MATCH(Rankings!A9,Table2[Name],0))</f>
        <v>6</v>
      </c>
      <c r="G9" s="52" t="str">
        <f>IF(EntryCount&gt;50, "6th Place", "")</f>
        <v/>
      </c>
      <c r="H9" s="42" t="str">
        <f>IF(G9="","",(EntryCount*EntryFee)*VLOOKUP(PayoutCount,PayoutTable,7))</f>
        <v/>
      </c>
    </row>
    <row r="10" spans="1:8" x14ac:dyDescent="0.65">
      <c r="A10" s="31" t="s">
        <v>425</v>
      </c>
      <c r="B10" s="71">
        <v>9999</v>
      </c>
      <c r="C10" s="70">
        <v>7</v>
      </c>
      <c r="D10" s="47"/>
      <c r="E10" s="49">
        <f>INDEX(Table2[Rank],MATCH(Rankings!A10,Table2[Name],0))</f>
        <v>7</v>
      </c>
      <c r="G10" s="52" t="str">
        <f>IF(EntryCount&gt;60, "7th Place", "")</f>
        <v/>
      </c>
      <c r="H10" s="42" t="str">
        <f>IF(G10="","",(EntryCount*EntryFee)*VLOOKUP(PayoutCount,PayoutTable,8))</f>
        <v/>
      </c>
    </row>
    <row r="11" spans="1:8" x14ac:dyDescent="0.65">
      <c r="A11" s="31" t="s">
        <v>417</v>
      </c>
      <c r="B11" s="71">
        <v>9999</v>
      </c>
      <c r="C11" s="70">
        <v>7</v>
      </c>
      <c r="D11" s="47"/>
      <c r="E11" s="49">
        <f>INDEX(Table2[Rank],MATCH(Rankings!A11,Table2[Name],0))</f>
        <v>7</v>
      </c>
      <c r="G11" s="52" t="str">
        <f>IF(EntryCount&gt;70, "8th Place", "")</f>
        <v/>
      </c>
      <c r="H11" s="42" t="str">
        <f>IF(G11="","",(EntryCount*EntryFee)*VLOOKUP(PayoutCount,PayoutTable,9))</f>
        <v/>
      </c>
    </row>
    <row r="12" spans="1:8" x14ac:dyDescent="0.65">
      <c r="A12" s="31" t="s">
        <v>420</v>
      </c>
      <c r="B12" s="71">
        <v>9999</v>
      </c>
      <c r="C12" s="70">
        <v>7</v>
      </c>
      <c r="D12" s="47"/>
      <c r="E12" s="49">
        <f>INDEX(Table2[Rank],MATCH(Rankings!A12,Table2[Name],0))</f>
        <v>7</v>
      </c>
      <c r="G12" s="52" t="str">
        <f>IF(EntryCount&gt;80, "9th Place", "")</f>
        <v/>
      </c>
      <c r="H12" s="42" t="str">
        <f>IF(G12="","",(EntryCount*EntryFee)*VLOOKUP(PayoutCount,PayoutTable,10))</f>
        <v/>
      </c>
    </row>
    <row r="13" spans="1:8" x14ac:dyDescent="0.65">
      <c r="A13" s="31" t="s">
        <v>430</v>
      </c>
      <c r="B13" s="71">
        <v>9999</v>
      </c>
      <c r="C13" s="70">
        <v>7</v>
      </c>
      <c r="D13" s="47"/>
      <c r="E13" s="49">
        <f>INDEX(Table2[Rank],MATCH(Rankings!A13,Table2[Name],0))</f>
        <v>7</v>
      </c>
      <c r="G13" s="52" t="str">
        <f>IF(EntryCount&gt;90, "10th Place", "")</f>
        <v/>
      </c>
      <c r="H13" s="42" t="str">
        <f>IF(G13="","",(EntryCount*EntryFee)*VLOOKUP(PayoutCount,PayoutTable,11))</f>
        <v/>
      </c>
    </row>
    <row r="14" spans="1:8" x14ac:dyDescent="0.65">
      <c r="A14" s="31" t="s">
        <v>422</v>
      </c>
      <c r="B14" s="71">
        <v>9999</v>
      </c>
      <c r="C14" s="70">
        <v>7</v>
      </c>
      <c r="D14" s="47"/>
      <c r="E14" s="49">
        <f>INDEX(Table2[Rank],MATCH(Rankings!A14,Table2[Name],0))</f>
        <v>7</v>
      </c>
    </row>
    <row r="15" spans="1:8" x14ac:dyDescent="0.65">
      <c r="A15" s="31" t="s">
        <v>431</v>
      </c>
      <c r="B15" s="71">
        <v>9999</v>
      </c>
      <c r="C15" s="70">
        <v>7</v>
      </c>
      <c r="D15" s="47"/>
      <c r="E15" s="49">
        <f>INDEX(Table2[Rank],MATCH(Rankings!A15,Table2[Name],0))</f>
        <v>7</v>
      </c>
    </row>
    <row r="16" spans="1:8" x14ac:dyDescent="0.65">
      <c r="A16" s="31" t="s">
        <v>424</v>
      </c>
      <c r="B16" s="71">
        <v>9999</v>
      </c>
      <c r="C16" s="70">
        <v>7</v>
      </c>
      <c r="D16" s="47"/>
      <c r="E16" s="49">
        <f>INDEX(Table2[Rank],MATCH(Rankings!A16,Table2[Name],0))</f>
        <v>7</v>
      </c>
    </row>
    <row r="17" spans="1:5" x14ac:dyDescent="0.65">
      <c r="A17" s="31" t="s">
        <v>432</v>
      </c>
      <c r="B17" s="71">
        <v>9999</v>
      </c>
      <c r="C17" s="70">
        <v>7</v>
      </c>
      <c r="D17" s="47"/>
      <c r="E17" s="49">
        <f>INDEX(Table2[Rank],MATCH(Rankings!A17,Table2[Name],0))</f>
        <v>7</v>
      </c>
    </row>
    <row r="18" spans="1:5" x14ac:dyDescent="0.65">
      <c r="A18" s="31" t="s">
        <v>426</v>
      </c>
      <c r="B18" s="71">
        <v>9999</v>
      </c>
      <c r="C18" s="70">
        <v>7</v>
      </c>
      <c r="D18" s="47"/>
      <c r="E18" s="49">
        <f>INDEX(Table2[Rank],MATCH(Rankings!A18,Table2[Name],0))</f>
        <v>7</v>
      </c>
    </row>
    <row r="19" spans="1:5" x14ac:dyDescent="0.65">
      <c r="A19" s="31" t="s">
        <v>418</v>
      </c>
      <c r="B19" s="71">
        <v>9999</v>
      </c>
      <c r="C19" s="70">
        <v>7</v>
      </c>
      <c r="D19" s="47"/>
      <c r="E19" s="49">
        <f>INDEX(Table2[Rank],MATCH(Rankings!A19,Table2[Name],0))</f>
        <v>7</v>
      </c>
    </row>
    <row r="20" spans="1:5" x14ac:dyDescent="0.65">
      <c r="A20" s="31" t="s">
        <v>428</v>
      </c>
      <c r="B20" s="71">
        <v>9999</v>
      </c>
      <c r="C20" s="70">
        <v>7</v>
      </c>
      <c r="D20" s="47"/>
      <c r="E20" s="49">
        <f>INDEX(Table2[Rank],MATCH(Rankings!A20,Table2[Name],0))</f>
        <v>7</v>
      </c>
    </row>
    <row r="21" spans="1:5" x14ac:dyDescent="0.65">
      <c r="A21" s="31" t="s">
        <v>434</v>
      </c>
      <c r="B21" s="71">
        <v>9999</v>
      </c>
      <c r="C21" s="70">
        <v>7</v>
      </c>
      <c r="D21" s="47"/>
      <c r="E21" s="49">
        <f>INDEX(Table2[Rank],MATCH(Rankings!A21,Table2[Name],0))</f>
        <v>7</v>
      </c>
    </row>
    <row r="22" spans="1:5" x14ac:dyDescent="0.65">
      <c r="A22" s="31" t="s">
        <v>423</v>
      </c>
      <c r="B22" s="71">
        <v>9999</v>
      </c>
      <c r="C22" s="70">
        <v>7</v>
      </c>
      <c r="D22" s="47"/>
      <c r="E22" s="49">
        <f>INDEX(Table2[Rank],MATCH(Rankings!A22,Table2[Name],0))</f>
        <v>7</v>
      </c>
    </row>
    <row r="23" spans="1:5" x14ac:dyDescent="0.65">
      <c r="A23" s="31" t="s">
        <v>414</v>
      </c>
      <c r="B23" s="71">
        <v>9999</v>
      </c>
      <c r="C23" s="70">
        <v>7</v>
      </c>
      <c r="D23" s="47"/>
      <c r="E23" s="49">
        <f>INDEX(Table2[Rank],MATCH(Rankings!A23,Table2[Name],0))</f>
        <v>7</v>
      </c>
    </row>
    <row r="24" spans="1:5" x14ac:dyDescent="0.65">
      <c r="A24" s="31" t="s">
        <v>416</v>
      </c>
      <c r="B24" s="71">
        <v>9999</v>
      </c>
      <c r="C24" s="70">
        <v>7</v>
      </c>
      <c r="D24" s="47"/>
      <c r="E24" s="49">
        <f>INDEX(Table2[Rank],MATCH(Rankings!A24,Table2[Name],0))</f>
        <v>7</v>
      </c>
    </row>
    <row r="25" spans="1:5" x14ac:dyDescent="0.65">
      <c r="A25" s="31" t="s">
        <v>436</v>
      </c>
      <c r="B25" s="71">
        <v>9999</v>
      </c>
      <c r="C25" s="70">
        <v>7</v>
      </c>
      <c r="D25" s="47"/>
      <c r="E25" s="49">
        <f>INDEX(Table2[Rank],MATCH(Rankings!A25,Table2[Name],0))</f>
        <v>7</v>
      </c>
    </row>
    <row r="26" spans="1:5" x14ac:dyDescent="0.65">
      <c r="A26" s="31" t="s">
        <v>421</v>
      </c>
      <c r="B26" s="71">
        <v>9999</v>
      </c>
      <c r="C26" s="70">
        <v>7</v>
      </c>
      <c r="D26" s="47"/>
      <c r="E26" s="49">
        <f>INDEX(Table2[Rank],MATCH(Rankings!A26,Table2[Name],0))</f>
        <v>7</v>
      </c>
    </row>
    <row r="27" spans="1:5" x14ac:dyDescent="0.65">
      <c r="A27" s="31" t="s">
        <v>438</v>
      </c>
      <c r="B27" s="71">
        <v>9999</v>
      </c>
      <c r="C27" s="70">
        <v>7</v>
      </c>
      <c r="D27" s="47"/>
      <c r="E27" s="49">
        <f>INDEX(Table2[Rank],MATCH(Rankings!A27,Table2[Name],0))</f>
        <v>7</v>
      </c>
    </row>
    <row r="28" spans="1:5" x14ac:dyDescent="0.65">
      <c r="A28" s="31" t="s">
        <v>437</v>
      </c>
      <c r="B28" s="71">
        <v>9999</v>
      </c>
      <c r="C28" s="70">
        <v>7</v>
      </c>
      <c r="D28" s="47"/>
      <c r="E28" s="49">
        <f>INDEX(Table2[Rank],MATCH(Rankings!A28,Table2[Name],0))</f>
        <v>7</v>
      </c>
    </row>
    <row r="29" spans="1:5" x14ac:dyDescent="0.65">
      <c r="A29" s="31" t="s">
        <v>61</v>
      </c>
      <c r="B29" s="71">
        <v>74999925</v>
      </c>
      <c r="C29" s="70">
        <v>8</v>
      </c>
      <c r="D29" s="47"/>
      <c r="E29" s="49" t="e">
        <f>INDEX(Table2[Rank],MATCH(Rankings!A29,Table2[Name],0))</f>
        <v>#N/A</v>
      </c>
    </row>
    <row r="30" spans="1:5" x14ac:dyDescent="0.65">
      <c r="A30"/>
      <c r="B30" s="41"/>
      <c r="C30"/>
      <c r="D30" s="47"/>
      <c r="E30" s="49" t="e">
        <f>INDEX(Table2[Rank],MATCH(Rankings!A30,Table2[Name],0))</f>
        <v>#N/A</v>
      </c>
    </row>
    <row r="31" spans="1:5" x14ac:dyDescent="0.65">
      <c r="A31"/>
      <c r="B31" s="41"/>
      <c r="C31"/>
      <c r="D31" s="47"/>
      <c r="E31" s="49" t="e">
        <f>INDEX(Table2[Rank],MATCH(Rankings!A31,Table2[Name],0))</f>
        <v>#N/A</v>
      </c>
    </row>
    <row r="32" spans="1:5" x14ac:dyDescent="0.65">
      <c r="A32"/>
      <c r="B32" s="41"/>
      <c r="C32"/>
      <c r="D32" s="47"/>
      <c r="E32" s="49" t="e">
        <f>INDEX(Table2[Rank],MATCH(Rankings!A32,Table2[Name],0))</f>
        <v>#N/A</v>
      </c>
    </row>
    <row r="33" spans="1:5" x14ac:dyDescent="0.65">
      <c r="A33"/>
      <c r="B33" s="41"/>
      <c r="C33"/>
      <c r="D33" s="47"/>
      <c r="E33" s="49" t="e">
        <f>INDEX(Table2[Rank],MATCH(Rankings!A33,Table2[Name],0))</f>
        <v>#N/A</v>
      </c>
    </row>
    <row r="34" spans="1:5" x14ac:dyDescent="0.65">
      <c r="A34"/>
      <c r="B34" s="41"/>
      <c r="C34"/>
      <c r="D34" s="47"/>
      <c r="E34" s="49" t="e">
        <f>INDEX(Table2[Rank],MATCH(Rankings!A34,Table2[Name],0))</f>
        <v>#N/A</v>
      </c>
    </row>
    <row r="35" spans="1:5" x14ac:dyDescent="0.65">
      <c r="A35"/>
      <c r="B35" s="41"/>
      <c r="C35"/>
      <c r="D35" s="47"/>
      <c r="E35" s="49" t="e">
        <f>INDEX(Table2[Rank],MATCH(Rankings!A35,Table2[Name],0))</f>
        <v>#N/A</v>
      </c>
    </row>
    <row r="36" spans="1:5" x14ac:dyDescent="0.65">
      <c r="A36"/>
      <c r="B36" s="41"/>
      <c r="C36"/>
      <c r="D36" s="47"/>
      <c r="E36" s="49" t="e">
        <f>INDEX(Table2[Rank],MATCH(Rankings!A36,Table2[Name],0))</f>
        <v>#N/A</v>
      </c>
    </row>
    <row r="37" spans="1:5" x14ac:dyDescent="0.65">
      <c r="A37"/>
      <c r="B37" s="41"/>
      <c r="C37"/>
      <c r="D37" s="47"/>
      <c r="E37" s="49" t="e">
        <f>INDEX(Table2[Rank],MATCH(Rankings!A37,Table2[Name],0))</f>
        <v>#N/A</v>
      </c>
    </row>
    <row r="38" spans="1:5" x14ac:dyDescent="0.65">
      <c r="A38"/>
      <c r="B38" s="41"/>
      <c r="C38"/>
      <c r="D38" s="47"/>
      <c r="E38" s="49" t="e">
        <f>INDEX(Table2[Rank],MATCH(Rankings!A38,Table2[Name],0))</f>
        <v>#N/A</v>
      </c>
    </row>
    <row r="39" spans="1:5" x14ac:dyDescent="0.65">
      <c r="A39"/>
      <c r="B39" s="41"/>
      <c r="C39"/>
      <c r="D39" s="47"/>
      <c r="E39" s="49" t="e">
        <f>INDEX(Table2[Rank],MATCH(Rankings!A39,Table2[Name],0))</f>
        <v>#N/A</v>
      </c>
    </row>
    <row r="40" spans="1:5" x14ac:dyDescent="0.65">
      <c r="A40"/>
      <c r="B40" s="41"/>
      <c r="C40"/>
      <c r="D40" s="47"/>
      <c r="E40" s="49" t="e">
        <f>INDEX(Table2[Rank],MATCH(Rankings!A40,Table2[Name],0))</f>
        <v>#N/A</v>
      </c>
    </row>
    <row r="41" spans="1:5" x14ac:dyDescent="0.65">
      <c r="A41"/>
      <c r="B41" s="41"/>
      <c r="C41"/>
      <c r="D41" s="47"/>
      <c r="E41" s="49" t="e">
        <f>INDEX(Table2[Rank],MATCH(Rankings!A41,Table2[Name],0))</f>
        <v>#N/A</v>
      </c>
    </row>
    <row r="42" spans="1:5" x14ac:dyDescent="0.65">
      <c r="A42"/>
      <c r="B42" s="41"/>
      <c r="C42"/>
      <c r="D42" s="47"/>
      <c r="E42" s="49" t="e">
        <f>INDEX(Table2[Rank],MATCH(Rankings!A42,Table2[Name],0))</f>
        <v>#N/A</v>
      </c>
    </row>
    <row r="43" spans="1:5" x14ac:dyDescent="0.65">
      <c r="A43"/>
      <c r="B43" s="41"/>
      <c r="C43"/>
      <c r="D43" s="47"/>
      <c r="E43" s="49" t="e">
        <f>INDEX(Table2[Rank],MATCH(Rankings!A43,Table2[Name],0))</f>
        <v>#N/A</v>
      </c>
    </row>
    <row r="44" spans="1:5" x14ac:dyDescent="0.65">
      <c r="A44"/>
      <c r="B44" s="41"/>
      <c r="C44"/>
      <c r="D44" s="47"/>
      <c r="E44" s="49" t="e">
        <f>INDEX(Table2[Rank],MATCH(Rankings!A44,Table2[Name],0))</f>
        <v>#N/A</v>
      </c>
    </row>
    <row r="45" spans="1:5" x14ac:dyDescent="0.65">
      <c r="A45"/>
      <c r="B45" s="41"/>
      <c r="C45"/>
      <c r="D45" s="47"/>
      <c r="E45" s="49" t="e">
        <f>INDEX(Table2[Rank],MATCH(Rankings!A45,Table2[Name],0))</f>
        <v>#N/A</v>
      </c>
    </row>
    <row r="46" spans="1:5" x14ac:dyDescent="0.65">
      <c r="A46"/>
      <c r="B46" s="41"/>
      <c r="C46"/>
      <c r="D46" s="47"/>
      <c r="E46" s="49" t="e">
        <f>INDEX(Table2[Rank],MATCH(Rankings!A46,Table2[Name],0))</f>
        <v>#N/A</v>
      </c>
    </row>
    <row r="47" spans="1:5" x14ac:dyDescent="0.65">
      <c r="A47"/>
      <c r="B47" s="41"/>
      <c r="C47"/>
      <c r="D47" s="47"/>
      <c r="E47" s="49" t="e">
        <f>INDEX(Table2[Rank],MATCH(Rankings!A47,Table2[Name],0))</f>
        <v>#N/A</v>
      </c>
    </row>
    <row r="48" spans="1:5" x14ac:dyDescent="0.65">
      <c r="A48"/>
      <c r="B48" s="41"/>
      <c r="C48"/>
      <c r="D48" s="47"/>
      <c r="E48" s="49" t="e">
        <f>INDEX(Table2[Rank],MATCH(Rankings!A48,Table2[Name],0))</f>
        <v>#N/A</v>
      </c>
    </row>
    <row r="49" spans="1:5" x14ac:dyDescent="0.65">
      <c r="A49"/>
      <c r="B49" s="41"/>
      <c r="C49"/>
      <c r="D49" s="47"/>
      <c r="E49" s="49" t="e">
        <f>INDEX(Table2[Rank],MATCH(Rankings!A49,Table2[Name],0))</f>
        <v>#N/A</v>
      </c>
    </row>
    <row r="50" spans="1:5" x14ac:dyDescent="0.65">
      <c r="A50"/>
      <c r="B50" s="41"/>
      <c r="C50"/>
      <c r="D50" s="47"/>
      <c r="E50" s="49" t="e">
        <f>INDEX(Table2[Rank],MATCH(Rankings!A50,Table2[Name],0))</f>
        <v>#N/A</v>
      </c>
    </row>
  </sheetData>
  <mergeCells count="3">
    <mergeCell ref="A1:H1"/>
    <mergeCell ref="B2:E2"/>
    <mergeCell ref="G3:H3"/>
  </mergeCells>
  <conditionalFormatting sqref="G6:G13">
    <cfRule type="notContainsBlanks" dxfId="53" priority="1">
      <formula>LEN(TRIM(G6))&gt;0</formula>
    </cfRule>
  </conditionalFormatting>
  <printOptions horizontalCentered="1" verticalCentered="1"/>
  <pageMargins left="0.1" right="0.1" top="0.1" bottom="0.1" header="0" footer="0"/>
  <pageSetup scale="97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ankings.Button_Print_Click">
                <anchor moveWithCells="1" sizeWithCells="1">
                  <from>
                    <xdr:col>8</xdr:col>
                    <xdr:colOff>1133475</xdr:colOff>
                    <xdr:row>1</xdr:row>
                    <xdr:rowOff>0</xdr:rowOff>
                  </from>
                  <to>
                    <xdr:col>11</xdr:col>
                    <xdr:colOff>1133475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T102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4.25" x14ac:dyDescent="0.45"/>
  <cols>
    <col min="1" max="1" width="22.6640625" customWidth="1"/>
    <col min="2" max="2" width="22.6640625" style="1" hidden="1" customWidth="1"/>
    <col min="3" max="7" width="23.1328125" customWidth="1"/>
    <col min="8" max="9" width="17" bestFit="1" customWidth="1"/>
    <col min="10" max="11" width="14.86328125" bestFit="1" customWidth="1"/>
    <col min="12" max="12" width="14.86328125" style="1" bestFit="1" customWidth="1"/>
    <col min="13" max="13" width="18.1328125" customWidth="1"/>
  </cols>
  <sheetData>
    <row r="1" spans="1:20" x14ac:dyDescent="0.45">
      <c r="D1" t="str">
        <f ca="1">MID(CELL("filename",A1),FIND("[",CELL("filename",A1))+1,FIND("]", CELL("filename",A1))-FIND("[",CELL("filename",A1))-6)</f>
        <v>SONY OPEN</v>
      </c>
      <c r="H1" s="61" t="s">
        <v>33</v>
      </c>
      <c r="I1" s="61"/>
      <c r="J1" s="61"/>
      <c r="K1" s="61"/>
      <c r="L1" s="61"/>
      <c r="M1" s="61"/>
      <c r="N1" s="61"/>
    </row>
    <row r="2" spans="1:20" s="7" customFormat="1" ht="34.35" customHeight="1" x14ac:dyDescent="0.55000000000000004">
      <c r="A2" s="6" t="s">
        <v>1</v>
      </c>
      <c r="B2" s="3" t="s">
        <v>27</v>
      </c>
      <c r="C2" s="4" t="s">
        <v>8</v>
      </c>
      <c r="D2" s="4" t="s">
        <v>7</v>
      </c>
      <c r="E2" s="4" t="s">
        <v>12</v>
      </c>
      <c r="F2" s="4" t="s">
        <v>11</v>
      </c>
      <c r="G2" s="5" t="s">
        <v>13</v>
      </c>
      <c r="H2" s="6" t="s">
        <v>9</v>
      </c>
      <c r="I2" s="6" t="s">
        <v>10</v>
      </c>
      <c r="J2" s="6" t="s">
        <v>14</v>
      </c>
      <c r="K2" s="6" t="s">
        <v>15</v>
      </c>
      <c r="L2" s="3" t="s">
        <v>16</v>
      </c>
      <c r="M2" s="8" t="s">
        <v>25</v>
      </c>
      <c r="N2" s="6" t="s">
        <v>18</v>
      </c>
    </row>
    <row r="3" spans="1:20" x14ac:dyDescent="0.45">
      <c r="A3" t="s">
        <v>414</v>
      </c>
      <c r="C3" t="s">
        <v>91</v>
      </c>
      <c r="D3" t="s">
        <v>223</v>
      </c>
      <c r="E3" t="s">
        <v>257</v>
      </c>
      <c r="F3" t="s">
        <v>103</v>
      </c>
      <c r="G3" s="1" t="s">
        <v>97</v>
      </c>
      <c r="H3">
        <f>IF(INDEX(FinalScore, MATCH(Table2[[#This Row],[Pick Column 1.1]],GolferName,0)) = "CUT", 999, INT(INDEX(FinalScore, MATCH(Table2[[#This Row],[Pick Column 1.1]],GolferName,0))))</f>
        <v>999</v>
      </c>
      <c r="I3">
        <f>IF(INDEX(FinalScore, MATCH(Table2[[#This Row],[Pick Column 1.2]],GolferName,0)) = "CUT", 999, INT(INDEX(FinalScore, MATCH(Table2[[#This Row],[Pick Column 1.2]],GolferName,0))))</f>
        <v>273</v>
      </c>
      <c r="J3">
        <f>IF(INDEX(FinalScore, MATCH(Table2[[#This Row],[Pick Column 2.1]],GolferName,0)) = "CUT", 999, INT(INDEX(FinalScore, MATCH(Table2[[#This Row],[Pick Column 2.1]],GolferName,0))))</f>
        <v>271</v>
      </c>
      <c r="K3">
        <f>IF(INDEX(FinalScore, MATCH(Table2[[#This Row],[Pick Column 2.2]],GolferName,0)) = "CUT", 999, INT(INDEX(FinalScore, MATCH(Table2[[#This Row],[Pick Column 2.2]],GolferName,0))))</f>
        <v>999</v>
      </c>
      <c r="L3" s="34">
        <f>IF(INDEX(FinalScore, MATCH(Table2[[#This Row],[Pick Column 2.3]],GolferName,0)) = "CUT", 999, INT(INDEX(FinalScore, MATCH(Table2[[#This Row],[Pick Column 2.3]],GolferName,0))))</f>
        <v>265</v>
      </c>
      <c r="M3">
        <f>_xlfn.IFNA(IF(COUNTIF(Table2[[#This Row],[Col 1.1 Score]:[Col 2.3 Score]], 999)&gt;1, 9999, SUM(Table2[[#This Row],[Col 1.1 Score]:[Col 2.3 Score]])-MAX(Table2[[#This Row],[Col 1.1 Score]:[Col 2.3 Score]])),999999)</f>
        <v>9999</v>
      </c>
      <c r="N3">
        <f>_xlfn.RANK.EQ(Table2[[#This Row],[Final Score (w/dropped)]],Table2[Final Score (w/dropped)],1)</f>
        <v>7</v>
      </c>
      <c r="P3" t="str">
        <f>IF(Q3&gt;1, "OUT", "")</f>
        <v>OUT</v>
      </c>
      <c r="Q3">
        <f>COUNTIF(Table2[[#This Row],[Col 1.1 Score]:[Col 2.3 Score]], "&gt;400")</f>
        <v>2</v>
      </c>
      <c r="R3">
        <f>COUNTIF(P3:P48,"OUT")/46</f>
        <v>0.41304347826086957</v>
      </c>
    </row>
    <row r="4" spans="1:20" x14ac:dyDescent="0.45">
      <c r="A4" t="s">
        <v>415</v>
      </c>
      <c r="C4" t="s">
        <v>223</v>
      </c>
      <c r="D4" t="s">
        <v>74</v>
      </c>
      <c r="E4" t="s">
        <v>258</v>
      </c>
      <c r="F4" t="s">
        <v>260</v>
      </c>
      <c r="G4" s="1" t="s">
        <v>97</v>
      </c>
      <c r="H4">
        <f>IF(INDEX(FinalScore, MATCH(Table2[[#This Row],[Pick Column 1.1]],GolferName,0)) = "CUT", 999, INT(INDEX(FinalScore, MATCH(Table2[[#This Row],[Pick Column 1.1]],GolferName,0))))</f>
        <v>273</v>
      </c>
      <c r="I4">
        <f>IF(INDEX(FinalScore, MATCH(Table2[[#This Row],[Pick Column 1.2]],GolferName,0)) = "CUT", 999, INT(INDEX(FinalScore, MATCH(Table2[[#This Row],[Pick Column 1.2]],GolferName,0))))</f>
        <v>272</v>
      </c>
      <c r="J4">
        <f>IF(INDEX(FinalScore, MATCH(Table2[[#This Row],[Pick Column 2.1]],GolferName,0)) = "CUT", 999, INT(INDEX(FinalScore, MATCH(Table2[[#This Row],[Pick Column 2.1]],GolferName,0))))</f>
        <v>267</v>
      </c>
      <c r="K4">
        <f>IF(INDEX(FinalScore, MATCH(Table2[[#This Row],[Pick Column 2.2]],GolferName,0)) = "CUT", 999, INT(INDEX(FinalScore, MATCH(Table2[[#This Row],[Pick Column 2.2]],GolferName,0))))</f>
        <v>999</v>
      </c>
      <c r="L4" s="1">
        <f>IF(INDEX(FinalScore, MATCH(Table2[[#This Row],[Pick Column 2.3]],GolferName,0)) = "CUT", 999, INT(INDEX(FinalScore, MATCH(Table2[[#This Row],[Pick Column 2.3]],GolferName,0))))</f>
        <v>265</v>
      </c>
      <c r="M4">
        <f>_xlfn.IFNA(IF(COUNTIF(Table2[[#This Row],[Col 1.1 Score]:[Col 2.3 Score]], 999)&gt;1, 9999, SUM(Table2[[#This Row],[Col 1.1 Score]:[Col 2.3 Score]])-MAX(Table2[[#This Row],[Col 1.1 Score]:[Col 2.3 Score]])),999999)</f>
        <v>1077</v>
      </c>
      <c r="N4">
        <f>_xlfn.RANK.EQ(Table2[[#This Row],[Final Score (w/dropped)]],Table2[Final Score (w/dropped)],1)</f>
        <v>1</v>
      </c>
      <c r="P4" t="str">
        <f t="shared" ref="P4:P48" si="0">IF(Q4&gt;1, "OUT", "")</f>
        <v/>
      </c>
      <c r="Q4">
        <f>COUNTIF(Table2[[#This Row],[Col 1.1 Score]:[Col 2.3 Score]], "&gt;400")</f>
        <v>1</v>
      </c>
      <c r="T4" t="s">
        <v>233</v>
      </c>
    </row>
    <row r="5" spans="1:20" x14ac:dyDescent="0.45">
      <c r="A5" t="s">
        <v>416</v>
      </c>
      <c r="C5" t="s">
        <v>69</v>
      </c>
      <c r="D5" t="s">
        <v>245</v>
      </c>
      <c r="E5" t="s">
        <v>257</v>
      </c>
      <c r="F5" t="s">
        <v>92</v>
      </c>
      <c r="G5" s="1" t="s">
        <v>258</v>
      </c>
      <c r="H5">
        <f>IF(INDEX(FinalScore, MATCH(Table2[[#This Row],[Pick Column 1.1]],GolferName,0)) = "CUT", 999, INT(INDEX(FinalScore, MATCH(Table2[[#This Row],[Pick Column 1.1]],GolferName,0))))</f>
        <v>999</v>
      </c>
      <c r="I5">
        <f>IF(INDEX(FinalScore, MATCH(Table2[[#This Row],[Pick Column 1.2]],GolferName,0)) = "CUT", 999, INT(INDEX(FinalScore, MATCH(Table2[[#This Row],[Pick Column 1.2]],GolferName,0))))</f>
        <v>999</v>
      </c>
      <c r="J5">
        <f>IF(INDEX(FinalScore, MATCH(Table2[[#This Row],[Pick Column 2.1]],GolferName,0)) = "CUT", 999, INT(INDEX(FinalScore, MATCH(Table2[[#This Row],[Pick Column 2.1]],GolferName,0))))</f>
        <v>271</v>
      </c>
      <c r="K5">
        <f>IF(INDEX(FinalScore, MATCH(Table2[[#This Row],[Pick Column 2.2]],GolferName,0)) = "CUT", 999, INT(INDEX(FinalScore, MATCH(Table2[[#This Row],[Pick Column 2.2]],GolferName,0))))</f>
        <v>999</v>
      </c>
      <c r="L5" s="1">
        <f>IF(INDEX(FinalScore, MATCH(Table2[[#This Row],[Pick Column 2.3]],GolferName,0)) = "CUT", 999, INT(INDEX(FinalScore, MATCH(Table2[[#This Row],[Pick Column 2.3]],GolferName,0))))</f>
        <v>267</v>
      </c>
      <c r="M5">
        <f>_xlfn.IFNA(IF(COUNTIF(Table2[[#This Row],[Col 1.1 Score]:[Col 2.3 Score]], 999)&gt;1, 9999, SUM(Table2[[#This Row],[Col 1.1 Score]:[Col 2.3 Score]])-MAX(Table2[[#This Row],[Col 1.1 Score]:[Col 2.3 Score]])),999999)</f>
        <v>9999</v>
      </c>
      <c r="N5">
        <f>_xlfn.RANK.EQ(Table2[[#This Row],[Final Score (w/dropped)]],Table2[Final Score (w/dropped)],1)</f>
        <v>7</v>
      </c>
      <c r="P5" t="str">
        <f t="shared" si="0"/>
        <v>OUT</v>
      </c>
      <c r="Q5">
        <f>COUNTIF(Table2[[#This Row],[Col 1.1 Score]:[Col 2.3 Score]], "&gt;400")</f>
        <v>3</v>
      </c>
      <c r="T5" t="s">
        <v>234</v>
      </c>
    </row>
    <row r="6" spans="1:20" x14ac:dyDescent="0.45">
      <c r="A6" t="s">
        <v>417</v>
      </c>
      <c r="C6" t="s">
        <v>245</v>
      </c>
      <c r="D6" t="s">
        <v>107</v>
      </c>
      <c r="E6" t="s">
        <v>259</v>
      </c>
      <c r="F6" t="s">
        <v>258</v>
      </c>
      <c r="G6" s="1" t="s">
        <v>262</v>
      </c>
      <c r="H6">
        <f>IF(INDEX(FinalScore, MATCH(Table2[[#This Row],[Pick Column 1.1]],GolferName,0)) = "CUT", 999, INT(INDEX(FinalScore, MATCH(Table2[[#This Row],[Pick Column 1.1]],GolferName,0))))</f>
        <v>999</v>
      </c>
      <c r="I6">
        <f>IF(INDEX(FinalScore, MATCH(Table2[[#This Row],[Pick Column 1.2]],GolferName,0)) = "CUT", 999, INT(INDEX(FinalScore, MATCH(Table2[[#This Row],[Pick Column 1.2]],GolferName,0))))</f>
        <v>271</v>
      </c>
      <c r="J6">
        <f>IF(INDEX(FinalScore, MATCH(Table2[[#This Row],[Pick Column 2.1]],GolferName,0)) = "CUT", 999, INT(INDEX(FinalScore, MATCH(Table2[[#This Row],[Pick Column 2.1]],GolferName,0))))</f>
        <v>999</v>
      </c>
      <c r="K6">
        <f>IF(INDEX(FinalScore, MATCH(Table2[[#This Row],[Pick Column 2.2]],GolferName,0)) = "CUT", 999, INT(INDEX(FinalScore, MATCH(Table2[[#This Row],[Pick Column 2.2]],GolferName,0))))</f>
        <v>267</v>
      </c>
      <c r="L6" s="1">
        <f>IF(INDEX(FinalScore, MATCH(Table2[[#This Row],[Pick Column 2.3]],GolferName,0)) = "CUT", 999, INT(INDEX(FinalScore, MATCH(Table2[[#This Row],[Pick Column 2.3]],GolferName,0))))</f>
        <v>279</v>
      </c>
      <c r="M6">
        <f>_xlfn.IFNA(IF(COUNTIF(Table2[[#This Row],[Col 1.1 Score]:[Col 2.3 Score]], 999)&gt;1, 9999, SUM(Table2[[#This Row],[Col 1.1 Score]:[Col 2.3 Score]])-MAX(Table2[[#This Row],[Col 1.1 Score]:[Col 2.3 Score]])),999999)</f>
        <v>9999</v>
      </c>
      <c r="N6">
        <f>_xlfn.RANK.EQ(Table2[[#This Row],[Final Score (w/dropped)]],Table2[Final Score (w/dropped)],1)</f>
        <v>7</v>
      </c>
      <c r="P6" t="str">
        <f t="shared" si="0"/>
        <v>OUT</v>
      </c>
      <c r="Q6">
        <f>COUNTIF(Table2[[#This Row],[Col 1.1 Score]:[Col 2.3 Score]], "&gt;400")</f>
        <v>2</v>
      </c>
      <c r="T6" t="s">
        <v>235</v>
      </c>
    </row>
    <row r="7" spans="1:20" x14ac:dyDescent="0.45">
      <c r="A7" t="s">
        <v>418</v>
      </c>
      <c r="C7" t="s">
        <v>69</v>
      </c>
      <c r="D7" t="s">
        <v>91</v>
      </c>
      <c r="E7" t="s">
        <v>260</v>
      </c>
      <c r="F7" t="s">
        <v>103</v>
      </c>
      <c r="G7" s="1" t="s">
        <v>270</v>
      </c>
      <c r="H7">
        <f>IF(INDEX(FinalScore, MATCH(Table2[[#This Row],[Pick Column 1.1]],GolferName,0)) = "CUT", 999, INT(INDEX(FinalScore, MATCH(Table2[[#This Row],[Pick Column 1.1]],GolferName,0))))</f>
        <v>999</v>
      </c>
      <c r="I7">
        <f>IF(INDEX(FinalScore, MATCH(Table2[[#This Row],[Pick Column 1.2]],GolferName,0)) = "CUT", 999, INT(INDEX(FinalScore, MATCH(Table2[[#This Row],[Pick Column 1.2]],GolferName,0))))</f>
        <v>999</v>
      </c>
      <c r="J7">
        <f>IF(INDEX(FinalScore, MATCH(Table2[[#This Row],[Pick Column 2.1]],GolferName,0)) = "CUT", 999, INT(INDEX(FinalScore, MATCH(Table2[[#This Row],[Pick Column 2.1]],GolferName,0))))</f>
        <v>999</v>
      </c>
      <c r="K7">
        <f>IF(INDEX(FinalScore, MATCH(Table2[[#This Row],[Pick Column 2.2]],GolferName,0)) = "CUT", 999, INT(INDEX(FinalScore, MATCH(Table2[[#This Row],[Pick Column 2.2]],GolferName,0))))</f>
        <v>999</v>
      </c>
      <c r="L7" s="1">
        <f>IF(INDEX(FinalScore, MATCH(Table2[[#This Row],[Pick Column 2.3]],GolferName,0)) = "CUT", 999, INT(INDEX(FinalScore, MATCH(Table2[[#This Row],[Pick Column 2.3]],GolferName,0))))</f>
        <v>273</v>
      </c>
      <c r="M7">
        <f>_xlfn.IFNA(IF(COUNTIF(Table2[[#This Row],[Col 1.1 Score]:[Col 2.3 Score]], 999)&gt;1, 9999, SUM(Table2[[#This Row],[Col 1.1 Score]:[Col 2.3 Score]])-MAX(Table2[[#This Row],[Col 1.1 Score]:[Col 2.3 Score]])),999999)</f>
        <v>9999</v>
      </c>
      <c r="N7">
        <f>_xlfn.RANK.EQ(Table2[[#This Row],[Final Score (w/dropped)]],Table2[Final Score (w/dropped)],1)</f>
        <v>7</v>
      </c>
      <c r="P7" t="str">
        <f t="shared" si="0"/>
        <v>OUT</v>
      </c>
      <c r="Q7">
        <f>COUNTIF(Table2[[#This Row],[Col 1.1 Score]:[Col 2.3 Score]], "&gt;400")</f>
        <v>4</v>
      </c>
      <c r="T7" t="s">
        <v>236</v>
      </c>
    </row>
    <row r="8" spans="1:20" x14ac:dyDescent="0.45">
      <c r="A8" t="s">
        <v>419</v>
      </c>
      <c r="C8" t="s">
        <v>223</v>
      </c>
      <c r="D8" t="s">
        <v>110</v>
      </c>
      <c r="E8" t="s">
        <v>232</v>
      </c>
      <c r="F8" t="s">
        <v>97</v>
      </c>
      <c r="G8" s="1" t="s">
        <v>297</v>
      </c>
      <c r="H8">
        <f>IF(INDEX(FinalScore, MATCH(Table2[[#This Row],[Pick Column 1.1]],GolferName,0)) = "CUT", 999, INT(INDEX(FinalScore, MATCH(Table2[[#This Row],[Pick Column 1.1]],GolferName,0))))</f>
        <v>273</v>
      </c>
      <c r="I8">
        <f>IF(INDEX(FinalScore, MATCH(Table2[[#This Row],[Pick Column 1.2]],GolferName,0)) = "CUT", 999, INT(INDEX(FinalScore, MATCH(Table2[[#This Row],[Pick Column 1.2]],GolferName,0))))</f>
        <v>269</v>
      </c>
      <c r="J8">
        <f>IF(INDEX(FinalScore, MATCH(Table2[[#This Row],[Pick Column 2.1]],GolferName,0)) = "CUT", 999, INT(INDEX(FinalScore, MATCH(Table2[[#This Row],[Pick Column 2.1]],GolferName,0))))</f>
        <v>999</v>
      </c>
      <c r="K8">
        <f>IF(INDEX(FinalScore, MATCH(Table2[[#This Row],[Pick Column 2.2]],GolferName,0)) = "CUT", 999, INT(INDEX(FinalScore, MATCH(Table2[[#This Row],[Pick Column 2.2]],GolferName,0))))</f>
        <v>265</v>
      </c>
      <c r="L8" s="1">
        <f>IF(INDEX(FinalScore, MATCH(Table2[[#This Row],[Pick Column 2.3]],GolferName,0)) = "CUT", 999, INT(INDEX(FinalScore, MATCH(Table2[[#This Row],[Pick Column 2.3]],GolferName,0))))</f>
        <v>281</v>
      </c>
      <c r="M8">
        <f>_xlfn.IFNA(IF(COUNTIF(Table2[[#This Row],[Col 1.1 Score]:[Col 2.3 Score]], 999)&gt;1, 9999, SUM(Table2[[#This Row],[Col 1.1 Score]:[Col 2.3 Score]])-MAX(Table2[[#This Row],[Col 1.1 Score]:[Col 2.3 Score]])),999999)</f>
        <v>1088</v>
      </c>
      <c r="N8">
        <f>_xlfn.RANK.EQ(Table2[[#This Row],[Final Score (w/dropped)]],Table2[Final Score (w/dropped)],1)</f>
        <v>3</v>
      </c>
      <c r="P8" t="str">
        <f t="shared" si="0"/>
        <v/>
      </c>
      <c r="Q8">
        <f>COUNTIF(Table2[[#This Row],[Col 1.1 Score]:[Col 2.3 Score]], "&gt;400")</f>
        <v>1</v>
      </c>
      <c r="T8" t="s">
        <v>237</v>
      </c>
    </row>
    <row r="9" spans="1:20" x14ac:dyDescent="0.45">
      <c r="A9" t="s">
        <v>420</v>
      </c>
      <c r="C9" t="s">
        <v>91</v>
      </c>
      <c r="D9" t="s">
        <v>219</v>
      </c>
      <c r="E9" t="s">
        <v>43</v>
      </c>
      <c r="F9" t="s">
        <v>99</v>
      </c>
      <c r="G9" s="1" t="s">
        <v>212</v>
      </c>
      <c r="H9">
        <f>IF(INDEX(FinalScore, MATCH(Table2[[#This Row],[Pick Column 1.1]],GolferName,0)) = "CUT", 999, INT(INDEX(FinalScore, MATCH(Table2[[#This Row],[Pick Column 1.1]],GolferName,0))))</f>
        <v>999</v>
      </c>
      <c r="I9">
        <f>IF(INDEX(FinalScore, MATCH(Table2[[#This Row],[Pick Column 1.2]],GolferName,0)) = "CUT", 999, INT(INDEX(FinalScore, MATCH(Table2[[#This Row],[Pick Column 1.2]],GolferName,0))))</f>
        <v>268</v>
      </c>
      <c r="J9">
        <f>IF(INDEX(FinalScore, MATCH(Table2[[#This Row],[Pick Column 2.1]],GolferName,0)) = "CUT", 999, INT(INDEX(FinalScore, MATCH(Table2[[#This Row],[Pick Column 2.1]],GolferName,0))))</f>
        <v>282</v>
      </c>
      <c r="K9">
        <f>IF(INDEX(FinalScore, MATCH(Table2[[#This Row],[Pick Column 2.2]],GolferName,0)) = "CUT", 999, INT(INDEX(FinalScore, MATCH(Table2[[#This Row],[Pick Column 2.2]],GolferName,0))))</f>
        <v>271</v>
      </c>
      <c r="L9" s="1">
        <f>IF(INDEX(FinalScore, MATCH(Table2[[#This Row],[Pick Column 2.3]],GolferName,0)) = "CUT", 999, INT(INDEX(FinalScore, MATCH(Table2[[#This Row],[Pick Column 2.3]],GolferName,0))))</f>
        <v>999</v>
      </c>
      <c r="M9">
        <f>_xlfn.IFNA(IF(COUNTIF(Table2[[#This Row],[Col 1.1 Score]:[Col 2.3 Score]], 999)&gt;1, 9999, SUM(Table2[[#This Row],[Col 1.1 Score]:[Col 2.3 Score]])-MAX(Table2[[#This Row],[Col 1.1 Score]:[Col 2.3 Score]])),999999)</f>
        <v>9999</v>
      </c>
      <c r="N9">
        <f>_xlfn.RANK.EQ(Table2[[#This Row],[Final Score (w/dropped)]],Table2[Final Score (w/dropped)],1)</f>
        <v>7</v>
      </c>
      <c r="P9" t="str">
        <f t="shared" si="0"/>
        <v>OUT</v>
      </c>
      <c r="Q9">
        <f>COUNTIF(Table2[[#This Row],[Col 1.1 Score]:[Col 2.3 Score]], "&gt;400")</f>
        <v>2</v>
      </c>
      <c r="T9" t="s">
        <v>238</v>
      </c>
    </row>
    <row r="10" spans="1:20" x14ac:dyDescent="0.45">
      <c r="A10" t="s">
        <v>421</v>
      </c>
      <c r="C10" t="s">
        <v>69</v>
      </c>
      <c r="D10" t="s">
        <v>245</v>
      </c>
      <c r="E10" t="s">
        <v>257</v>
      </c>
      <c r="F10" t="s">
        <v>92</v>
      </c>
      <c r="G10" s="1" t="s">
        <v>258</v>
      </c>
      <c r="H10">
        <f>IF(INDEX(FinalScore, MATCH(Table2[[#This Row],[Pick Column 1.1]],GolferName,0)) = "CUT", 999, INT(INDEX(FinalScore, MATCH(Table2[[#This Row],[Pick Column 1.1]],GolferName,0))))</f>
        <v>999</v>
      </c>
      <c r="I10">
        <f>IF(INDEX(FinalScore, MATCH(Table2[[#This Row],[Pick Column 1.2]],GolferName,0)) = "CUT", 999, INT(INDEX(FinalScore, MATCH(Table2[[#This Row],[Pick Column 1.2]],GolferName,0))))</f>
        <v>999</v>
      </c>
      <c r="J10">
        <f>IF(INDEX(FinalScore, MATCH(Table2[[#This Row],[Pick Column 2.1]],GolferName,0)) = "CUT", 999, INT(INDEX(FinalScore, MATCH(Table2[[#This Row],[Pick Column 2.1]],GolferName,0))))</f>
        <v>271</v>
      </c>
      <c r="K10">
        <f>IF(INDEX(FinalScore, MATCH(Table2[[#This Row],[Pick Column 2.2]],GolferName,0)) = "CUT", 999, INT(INDEX(FinalScore, MATCH(Table2[[#This Row],[Pick Column 2.2]],GolferName,0))))</f>
        <v>999</v>
      </c>
      <c r="L10" s="1">
        <f>IF(INDEX(FinalScore, MATCH(Table2[[#This Row],[Pick Column 2.3]],GolferName,0)) = "CUT", 999, INT(INDEX(FinalScore, MATCH(Table2[[#This Row],[Pick Column 2.3]],GolferName,0))))</f>
        <v>267</v>
      </c>
      <c r="M10">
        <f>_xlfn.IFNA(IF(COUNTIF(Table2[[#This Row],[Col 1.1 Score]:[Col 2.3 Score]], 999)&gt;1, 9999, SUM(Table2[[#This Row],[Col 1.1 Score]:[Col 2.3 Score]])-MAX(Table2[[#This Row],[Col 1.1 Score]:[Col 2.3 Score]])),999999)</f>
        <v>9999</v>
      </c>
      <c r="N10">
        <f>_xlfn.RANK.EQ(Table2[[#This Row],[Final Score (w/dropped)]],Table2[Final Score (w/dropped)],1)</f>
        <v>7</v>
      </c>
      <c r="P10" t="str">
        <f t="shared" si="0"/>
        <v>OUT</v>
      </c>
      <c r="Q10">
        <f>COUNTIF(Table2[[#This Row],[Col 1.1 Score]:[Col 2.3 Score]], "&gt;400")</f>
        <v>3</v>
      </c>
      <c r="T10" t="s">
        <v>239</v>
      </c>
    </row>
    <row r="11" spans="1:20" x14ac:dyDescent="0.45">
      <c r="A11" t="s">
        <v>422</v>
      </c>
      <c r="C11" t="s">
        <v>223</v>
      </c>
      <c r="D11" t="s">
        <v>73</v>
      </c>
      <c r="E11" t="s">
        <v>259</v>
      </c>
      <c r="F11" t="s">
        <v>260</v>
      </c>
      <c r="G11" s="1" t="s">
        <v>263</v>
      </c>
      <c r="H11">
        <f>IF(INDEX(FinalScore, MATCH(Table2[[#This Row],[Pick Column 1.1]],GolferName,0)) = "CUT", 999, INT(INDEX(FinalScore, MATCH(Table2[[#This Row],[Pick Column 1.1]],GolferName,0))))</f>
        <v>273</v>
      </c>
      <c r="I11">
        <f>IF(INDEX(FinalScore, MATCH(Table2[[#This Row],[Pick Column 1.2]],GolferName,0)) = "CUT", 999, INT(INDEX(FinalScore, MATCH(Table2[[#This Row],[Pick Column 1.2]],GolferName,0))))</f>
        <v>271</v>
      </c>
      <c r="J11">
        <f>IF(INDEX(FinalScore, MATCH(Table2[[#This Row],[Pick Column 2.1]],GolferName,0)) = "CUT", 999, INT(INDEX(FinalScore, MATCH(Table2[[#This Row],[Pick Column 2.1]],GolferName,0))))</f>
        <v>999</v>
      </c>
      <c r="K11">
        <f>IF(INDEX(FinalScore, MATCH(Table2[[#This Row],[Pick Column 2.2]],GolferName,0)) = "CUT", 999, INT(INDEX(FinalScore, MATCH(Table2[[#This Row],[Pick Column 2.2]],GolferName,0))))</f>
        <v>999</v>
      </c>
      <c r="L11" s="1">
        <f>IF(INDEX(FinalScore, MATCH(Table2[[#This Row],[Pick Column 2.3]],GolferName,0)) = "CUT", 999, INT(INDEX(FinalScore, MATCH(Table2[[#This Row],[Pick Column 2.3]],GolferName,0))))</f>
        <v>999</v>
      </c>
      <c r="M11">
        <f>_xlfn.IFNA(IF(COUNTIF(Table2[[#This Row],[Col 1.1 Score]:[Col 2.3 Score]], 999)&gt;1, 9999, SUM(Table2[[#This Row],[Col 1.1 Score]:[Col 2.3 Score]])-MAX(Table2[[#This Row],[Col 1.1 Score]:[Col 2.3 Score]])),999999)</f>
        <v>9999</v>
      </c>
      <c r="N11">
        <f>_xlfn.RANK.EQ(Table2[[#This Row],[Final Score (w/dropped)]],Table2[Final Score (w/dropped)],1)</f>
        <v>7</v>
      </c>
      <c r="P11" t="str">
        <f t="shared" si="0"/>
        <v>OUT</v>
      </c>
      <c r="Q11">
        <f>COUNTIF(Table2[[#This Row],[Col 1.1 Score]:[Col 2.3 Score]], "&gt;400")</f>
        <v>3</v>
      </c>
    </row>
    <row r="12" spans="1:20" x14ac:dyDescent="0.45">
      <c r="A12" t="s">
        <v>423</v>
      </c>
      <c r="C12" t="s">
        <v>91</v>
      </c>
      <c r="D12" t="s">
        <v>65</v>
      </c>
      <c r="E12" t="s">
        <v>232</v>
      </c>
      <c r="F12" t="s">
        <v>103</v>
      </c>
      <c r="G12" s="1" t="s">
        <v>266</v>
      </c>
      <c r="H12">
        <f>IF(INDEX(FinalScore, MATCH(Table2[[#This Row],[Pick Column 1.1]],GolferName,0)) = "CUT", 999, INT(INDEX(FinalScore, MATCH(Table2[[#This Row],[Pick Column 1.1]],GolferName,0))))</f>
        <v>999</v>
      </c>
      <c r="I12">
        <f>IF(INDEX(FinalScore, MATCH(Table2[[#This Row],[Pick Column 1.2]],GolferName,0)) = "CUT", 999, INT(INDEX(FinalScore, MATCH(Table2[[#This Row],[Pick Column 1.2]],GolferName,0))))</f>
        <v>999</v>
      </c>
      <c r="J12">
        <f>IF(INDEX(FinalScore, MATCH(Table2[[#This Row],[Pick Column 2.1]],GolferName,0)) = "CUT", 999, INT(INDEX(FinalScore, MATCH(Table2[[#This Row],[Pick Column 2.1]],GolferName,0))))</f>
        <v>999</v>
      </c>
      <c r="K12">
        <f>IF(INDEX(FinalScore, MATCH(Table2[[#This Row],[Pick Column 2.2]],GolferName,0)) = "CUT", 999, INT(INDEX(FinalScore, MATCH(Table2[[#This Row],[Pick Column 2.2]],GolferName,0))))</f>
        <v>999</v>
      </c>
      <c r="L12" s="1">
        <f>IF(INDEX(FinalScore, MATCH(Table2[[#This Row],[Pick Column 2.3]],GolferName,0)) = "CUT", 999, INT(INDEX(FinalScore, MATCH(Table2[[#This Row],[Pick Column 2.3]],GolferName,0))))</f>
        <v>272</v>
      </c>
      <c r="M12">
        <f>_xlfn.IFNA(IF(COUNTIF(Table2[[#This Row],[Col 1.1 Score]:[Col 2.3 Score]], 999)&gt;1, 9999, SUM(Table2[[#This Row],[Col 1.1 Score]:[Col 2.3 Score]])-MAX(Table2[[#This Row],[Col 1.1 Score]:[Col 2.3 Score]])),999999)</f>
        <v>9999</v>
      </c>
      <c r="N12">
        <f>_xlfn.RANK.EQ(Table2[[#This Row],[Final Score (w/dropped)]],Table2[Final Score (w/dropped)],1)</f>
        <v>7</v>
      </c>
      <c r="P12" t="str">
        <f t="shared" si="0"/>
        <v>OUT</v>
      </c>
      <c r="Q12">
        <f>COUNTIF(Table2[[#This Row],[Col 1.1 Score]:[Col 2.3 Score]], "&gt;400")</f>
        <v>4</v>
      </c>
    </row>
    <row r="13" spans="1:20" x14ac:dyDescent="0.45">
      <c r="A13" t="s">
        <v>424</v>
      </c>
      <c r="C13" t="s">
        <v>69</v>
      </c>
      <c r="D13" t="s">
        <v>223</v>
      </c>
      <c r="E13" t="s">
        <v>92</v>
      </c>
      <c r="F13" t="s">
        <v>259</v>
      </c>
      <c r="G13" s="1" t="s">
        <v>270</v>
      </c>
      <c r="H13">
        <f>IF(INDEX(FinalScore, MATCH(Table2[[#This Row],[Pick Column 1.1]],GolferName,0)) = "CUT", 999, INT(INDEX(FinalScore, MATCH(Table2[[#This Row],[Pick Column 1.1]],GolferName,0))))</f>
        <v>999</v>
      </c>
      <c r="I13">
        <f>IF(INDEX(FinalScore, MATCH(Table2[[#This Row],[Pick Column 1.2]],GolferName,0)) = "CUT", 999, INT(INDEX(FinalScore, MATCH(Table2[[#This Row],[Pick Column 1.2]],GolferName,0))))</f>
        <v>273</v>
      </c>
      <c r="J13">
        <f>IF(INDEX(FinalScore, MATCH(Table2[[#This Row],[Pick Column 2.1]],GolferName,0)) = "CUT", 999, INT(INDEX(FinalScore, MATCH(Table2[[#This Row],[Pick Column 2.1]],GolferName,0))))</f>
        <v>999</v>
      </c>
      <c r="K13">
        <f>IF(INDEX(FinalScore, MATCH(Table2[[#This Row],[Pick Column 2.2]],GolferName,0)) = "CUT", 999, INT(INDEX(FinalScore, MATCH(Table2[[#This Row],[Pick Column 2.2]],GolferName,0))))</f>
        <v>999</v>
      </c>
      <c r="L13" s="1">
        <f>IF(INDEX(FinalScore, MATCH(Table2[[#This Row],[Pick Column 2.3]],GolferName,0)) = "CUT", 999, INT(INDEX(FinalScore, MATCH(Table2[[#This Row],[Pick Column 2.3]],GolferName,0))))</f>
        <v>273</v>
      </c>
      <c r="M13">
        <f>_xlfn.IFNA(IF(COUNTIF(Table2[[#This Row],[Col 1.1 Score]:[Col 2.3 Score]], 999)&gt;1, 9999, SUM(Table2[[#This Row],[Col 1.1 Score]:[Col 2.3 Score]])-MAX(Table2[[#This Row],[Col 1.1 Score]:[Col 2.3 Score]])),999999)</f>
        <v>9999</v>
      </c>
      <c r="N13">
        <f>_xlfn.RANK.EQ(Table2[[#This Row],[Final Score (w/dropped)]],Table2[Final Score (w/dropped)],1)</f>
        <v>7</v>
      </c>
      <c r="P13" t="str">
        <f t="shared" si="0"/>
        <v>OUT</v>
      </c>
      <c r="Q13">
        <f>COUNTIF(Table2[[#This Row],[Col 1.1 Score]:[Col 2.3 Score]], "&gt;400")</f>
        <v>3</v>
      </c>
    </row>
    <row r="14" spans="1:20" x14ac:dyDescent="0.45">
      <c r="A14" t="s">
        <v>425</v>
      </c>
      <c r="C14" t="s">
        <v>91</v>
      </c>
      <c r="D14" t="s">
        <v>74</v>
      </c>
      <c r="E14" t="s">
        <v>92</v>
      </c>
      <c r="F14" t="s">
        <v>266</v>
      </c>
      <c r="G14" s="1" t="s">
        <v>105</v>
      </c>
      <c r="H14">
        <f>IF(INDEX(FinalScore, MATCH(Table2[[#This Row],[Pick Column 1.1]],GolferName,0)) = "CUT", 999, INT(INDEX(FinalScore, MATCH(Table2[[#This Row],[Pick Column 1.1]],GolferName,0))))</f>
        <v>999</v>
      </c>
      <c r="I14">
        <f>IF(INDEX(FinalScore, MATCH(Table2[[#This Row],[Pick Column 1.2]],GolferName,0)) = "CUT", 999, INT(INDEX(FinalScore, MATCH(Table2[[#This Row],[Pick Column 1.2]],GolferName,0))))</f>
        <v>272</v>
      </c>
      <c r="J14">
        <f>IF(INDEX(FinalScore, MATCH(Table2[[#This Row],[Pick Column 2.1]],GolferName,0)) = "CUT", 999, INT(INDEX(FinalScore, MATCH(Table2[[#This Row],[Pick Column 2.1]],GolferName,0))))</f>
        <v>999</v>
      </c>
      <c r="K14">
        <f>IF(INDEX(FinalScore, MATCH(Table2[[#This Row],[Pick Column 2.2]],GolferName,0)) = "CUT", 999, INT(INDEX(FinalScore, MATCH(Table2[[#This Row],[Pick Column 2.2]],GolferName,0))))</f>
        <v>272</v>
      </c>
      <c r="L14" s="1">
        <f>IF(INDEX(FinalScore, MATCH(Table2[[#This Row],[Pick Column 2.3]],GolferName,0)) = "CUT", 999, INT(INDEX(FinalScore, MATCH(Table2[[#This Row],[Pick Column 2.3]],GolferName,0))))</f>
        <v>269</v>
      </c>
      <c r="M14">
        <f>_xlfn.IFNA(IF(COUNTIF(Table2[[#This Row],[Col 1.1 Score]:[Col 2.3 Score]], 999)&gt;1, 9999, SUM(Table2[[#This Row],[Col 1.1 Score]:[Col 2.3 Score]])-MAX(Table2[[#This Row],[Col 1.1 Score]:[Col 2.3 Score]])),999999)</f>
        <v>9999</v>
      </c>
      <c r="N14">
        <f>_xlfn.RANK.EQ(Table2[[#This Row],[Final Score (w/dropped)]],Table2[Final Score (w/dropped)],1)</f>
        <v>7</v>
      </c>
      <c r="P14" t="str">
        <f t="shared" si="0"/>
        <v>OUT</v>
      </c>
      <c r="Q14">
        <f>COUNTIF(Table2[[#This Row],[Col 1.1 Score]:[Col 2.3 Score]], "&gt;400")</f>
        <v>2</v>
      </c>
    </row>
    <row r="15" spans="1:20" x14ac:dyDescent="0.45">
      <c r="A15" t="s">
        <v>426</v>
      </c>
      <c r="C15" t="s">
        <v>245</v>
      </c>
      <c r="D15" t="s">
        <v>219</v>
      </c>
      <c r="E15" t="s">
        <v>258</v>
      </c>
      <c r="F15" t="s">
        <v>262</v>
      </c>
      <c r="G15" s="1" t="s">
        <v>68</v>
      </c>
      <c r="H15">
        <f>IF(INDEX(FinalScore, MATCH(Table2[[#This Row],[Pick Column 1.1]],GolferName,0)) = "CUT", 999, INT(INDEX(FinalScore, MATCH(Table2[[#This Row],[Pick Column 1.1]],GolferName,0))))</f>
        <v>999</v>
      </c>
      <c r="I15">
        <f>IF(INDEX(FinalScore, MATCH(Table2[[#This Row],[Pick Column 1.2]],GolferName,0)) = "CUT", 999, INT(INDEX(FinalScore, MATCH(Table2[[#This Row],[Pick Column 1.2]],GolferName,0))))</f>
        <v>268</v>
      </c>
      <c r="J15">
        <f>IF(INDEX(FinalScore, MATCH(Table2[[#This Row],[Pick Column 2.1]],GolferName,0)) = "CUT", 999, INT(INDEX(FinalScore, MATCH(Table2[[#This Row],[Pick Column 2.1]],GolferName,0))))</f>
        <v>267</v>
      </c>
      <c r="K15">
        <f>IF(INDEX(FinalScore, MATCH(Table2[[#This Row],[Pick Column 2.2]],GolferName,0)) = "CUT", 999, INT(INDEX(FinalScore, MATCH(Table2[[#This Row],[Pick Column 2.2]],GolferName,0))))</f>
        <v>279</v>
      </c>
      <c r="L15" s="1">
        <f>IF(INDEX(FinalScore, MATCH(Table2[[#This Row],[Pick Column 2.3]],GolferName,0)) = "CUT", 999, INT(INDEX(FinalScore, MATCH(Table2[[#This Row],[Pick Column 2.3]],GolferName,0))))</f>
        <v>999</v>
      </c>
      <c r="M15">
        <f>_xlfn.IFNA(IF(COUNTIF(Table2[[#This Row],[Col 1.1 Score]:[Col 2.3 Score]], 999)&gt;1, 9999, SUM(Table2[[#This Row],[Col 1.1 Score]:[Col 2.3 Score]])-MAX(Table2[[#This Row],[Col 1.1 Score]:[Col 2.3 Score]])),999999)</f>
        <v>9999</v>
      </c>
      <c r="N15">
        <f>_xlfn.RANK.EQ(Table2[[#This Row],[Final Score (w/dropped)]],Table2[Final Score (w/dropped)],1)</f>
        <v>7</v>
      </c>
      <c r="P15" t="str">
        <f t="shared" si="0"/>
        <v>OUT</v>
      </c>
      <c r="Q15">
        <f>COUNTIF(Table2[[#This Row],[Col 1.1 Score]:[Col 2.3 Score]], "&gt;400")</f>
        <v>2</v>
      </c>
    </row>
    <row r="16" spans="1:20" x14ac:dyDescent="0.45">
      <c r="A16" t="s">
        <v>427</v>
      </c>
      <c r="C16" t="s">
        <v>91</v>
      </c>
      <c r="D16" t="s">
        <v>258</v>
      </c>
      <c r="E16" t="s">
        <v>270</v>
      </c>
      <c r="F16" t="s">
        <v>284</v>
      </c>
      <c r="G16" s="1" t="s">
        <v>297</v>
      </c>
      <c r="H16">
        <f>IF(INDEX(FinalScore, MATCH(Table2[[#This Row],[Pick Column 1.1]],GolferName,0)) = "CUT", 999, INT(INDEX(FinalScore, MATCH(Table2[[#This Row],[Pick Column 1.1]],GolferName,0))))</f>
        <v>999</v>
      </c>
      <c r="I16">
        <f>IF(INDEX(FinalScore, MATCH(Table2[[#This Row],[Pick Column 1.2]],GolferName,0)) = "CUT", 999, INT(INDEX(FinalScore, MATCH(Table2[[#This Row],[Pick Column 1.2]],GolferName,0))))</f>
        <v>267</v>
      </c>
      <c r="J16">
        <f>IF(INDEX(FinalScore, MATCH(Table2[[#This Row],[Pick Column 2.1]],GolferName,0)) = "CUT", 999, INT(INDEX(FinalScore, MATCH(Table2[[#This Row],[Pick Column 2.1]],GolferName,0))))</f>
        <v>273</v>
      </c>
      <c r="K16">
        <f>IF(INDEX(FinalScore, MATCH(Table2[[#This Row],[Pick Column 2.2]],GolferName,0)) = "CUT", 999, INT(INDEX(FinalScore, MATCH(Table2[[#This Row],[Pick Column 2.2]],GolferName,0))))</f>
        <v>269</v>
      </c>
      <c r="L16" s="1">
        <f>IF(INDEX(FinalScore, MATCH(Table2[[#This Row],[Pick Column 2.3]],GolferName,0)) = "CUT", 999, INT(INDEX(FinalScore, MATCH(Table2[[#This Row],[Pick Column 2.3]],GolferName,0))))</f>
        <v>281</v>
      </c>
      <c r="M16">
        <f>_xlfn.IFNA(IF(COUNTIF(Table2[[#This Row],[Col 1.1 Score]:[Col 2.3 Score]], 999)&gt;1, 9999, SUM(Table2[[#This Row],[Col 1.1 Score]:[Col 2.3 Score]])-MAX(Table2[[#This Row],[Col 1.1 Score]:[Col 2.3 Score]])),999999)</f>
        <v>1090</v>
      </c>
      <c r="N16">
        <f>_xlfn.RANK.EQ(Table2[[#This Row],[Final Score (w/dropped)]],Table2[Final Score (w/dropped)],1)</f>
        <v>4</v>
      </c>
      <c r="P16" t="str">
        <f t="shared" si="0"/>
        <v/>
      </c>
      <c r="Q16">
        <f>COUNTIF(Table2[[#This Row],[Col 1.1 Score]:[Col 2.3 Score]], "&gt;400")</f>
        <v>1</v>
      </c>
    </row>
    <row r="17" spans="1:17" x14ac:dyDescent="0.45">
      <c r="A17" t="s">
        <v>428</v>
      </c>
      <c r="C17" t="s">
        <v>245</v>
      </c>
      <c r="D17" t="s">
        <v>91</v>
      </c>
      <c r="E17" t="s">
        <v>258</v>
      </c>
      <c r="F17" t="s">
        <v>260</v>
      </c>
      <c r="G17" s="1" t="s">
        <v>232</v>
      </c>
      <c r="H17">
        <f>IF(INDEX(FinalScore, MATCH(Table2[[#This Row],[Pick Column 1.1]],GolferName,0)) = "CUT", 999, INT(INDEX(FinalScore, MATCH(Table2[[#This Row],[Pick Column 1.1]],GolferName,0))))</f>
        <v>999</v>
      </c>
      <c r="I17">
        <f>IF(INDEX(FinalScore, MATCH(Table2[[#This Row],[Pick Column 1.2]],GolferName,0)) = "CUT", 999, INT(INDEX(FinalScore, MATCH(Table2[[#This Row],[Pick Column 1.2]],GolferName,0))))</f>
        <v>999</v>
      </c>
      <c r="J17">
        <f>IF(INDEX(FinalScore, MATCH(Table2[[#This Row],[Pick Column 2.1]],GolferName,0)) = "CUT", 999, INT(INDEX(FinalScore, MATCH(Table2[[#This Row],[Pick Column 2.1]],GolferName,0))))</f>
        <v>267</v>
      </c>
      <c r="K17">
        <f>IF(INDEX(FinalScore, MATCH(Table2[[#This Row],[Pick Column 2.2]],GolferName,0)) = "CUT", 999, INT(INDEX(FinalScore, MATCH(Table2[[#This Row],[Pick Column 2.2]],GolferName,0))))</f>
        <v>999</v>
      </c>
      <c r="L17" s="1">
        <f>IF(INDEX(FinalScore, MATCH(Table2[[#This Row],[Pick Column 2.3]],GolferName,0)) = "CUT", 999, INT(INDEX(FinalScore, MATCH(Table2[[#This Row],[Pick Column 2.3]],GolferName,0))))</f>
        <v>999</v>
      </c>
      <c r="M17">
        <f>_xlfn.IFNA(IF(COUNTIF(Table2[[#This Row],[Col 1.1 Score]:[Col 2.3 Score]], 999)&gt;1, 9999, SUM(Table2[[#This Row],[Col 1.1 Score]:[Col 2.3 Score]])-MAX(Table2[[#This Row],[Col 1.1 Score]:[Col 2.3 Score]])),999999)</f>
        <v>9999</v>
      </c>
      <c r="N17">
        <f>_xlfn.RANK.EQ(Table2[[#This Row],[Final Score (w/dropped)]],Table2[Final Score (w/dropped)],1)</f>
        <v>7</v>
      </c>
      <c r="P17" t="str">
        <f t="shared" si="0"/>
        <v>OUT</v>
      </c>
      <c r="Q17">
        <f>COUNTIF(Table2[[#This Row],[Col 1.1 Score]:[Col 2.3 Score]], "&gt;400")</f>
        <v>4</v>
      </c>
    </row>
    <row r="18" spans="1:17" x14ac:dyDescent="0.45">
      <c r="A18" t="s">
        <v>429</v>
      </c>
      <c r="C18" t="s">
        <v>223</v>
      </c>
      <c r="D18" t="s">
        <v>3</v>
      </c>
      <c r="E18" t="s">
        <v>258</v>
      </c>
      <c r="F18" t="s">
        <v>103</v>
      </c>
      <c r="G18" s="1" t="s">
        <v>43</v>
      </c>
      <c r="H18">
        <f>IF(INDEX(FinalScore, MATCH(Table2[[#This Row],[Pick Column 1.1]],GolferName,0)) = "CUT", 999, INT(INDEX(FinalScore, MATCH(Table2[[#This Row],[Pick Column 1.1]],GolferName,0))))</f>
        <v>273</v>
      </c>
      <c r="I18">
        <f>IF(INDEX(FinalScore, MATCH(Table2[[#This Row],[Pick Column 1.2]],GolferName,0)) = "CUT", 999, INT(INDEX(FinalScore, MATCH(Table2[[#This Row],[Pick Column 1.2]],GolferName,0))))</f>
        <v>262</v>
      </c>
      <c r="J18">
        <f>IF(INDEX(FinalScore, MATCH(Table2[[#This Row],[Pick Column 2.1]],GolferName,0)) = "CUT", 999, INT(INDEX(FinalScore, MATCH(Table2[[#This Row],[Pick Column 2.1]],GolferName,0))))</f>
        <v>267</v>
      </c>
      <c r="K18">
        <f>IF(INDEX(FinalScore, MATCH(Table2[[#This Row],[Pick Column 2.2]],GolferName,0)) = "CUT", 999, INT(INDEX(FinalScore, MATCH(Table2[[#This Row],[Pick Column 2.2]],GolferName,0))))</f>
        <v>999</v>
      </c>
      <c r="L18" s="1">
        <f>IF(INDEX(FinalScore, MATCH(Table2[[#This Row],[Pick Column 2.3]],GolferName,0)) = "CUT", 999, INT(INDEX(FinalScore, MATCH(Table2[[#This Row],[Pick Column 2.3]],GolferName,0))))</f>
        <v>282</v>
      </c>
      <c r="M18">
        <f>_xlfn.IFNA(IF(COUNTIF(Table2[[#This Row],[Col 1.1 Score]:[Col 2.3 Score]], 999)&gt;1, 9999, SUM(Table2[[#This Row],[Col 1.1 Score]:[Col 2.3 Score]])-MAX(Table2[[#This Row],[Col 1.1 Score]:[Col 2.3 Score]])),999999)</f>
        <v>1084</v>
      </c>
      <c r="N18">
        <f>_xlfn.RANK.EQ(Table2[[#This Row],[Final Score (w/dropped)]],Table2[Final Score (w/dropped)],1)</f>
        <v>2</v>
      </c>
      <c r="P18" t="str">
        <f t="shared" si="0"/>
        <v/>
      </c>
      <c r="Q18">
        <f>COUNTIF(Table2[[#This Row],[Col 1.1 Score]:[Col 2.3 Score]], "&gt;400")</f>
        <v>1</v>
      </c>
    </row>
    <row r="19" spans="1:17" x14ac:dyDescent="0.45">
      <c r="A19" t="s">
        <v>430</v>
      </c>
      <c r="C19" t="s">
        <v>69</v>
      </c>
      <c r="D19" t="s">
        <v>223</v>
      </c>
      <c r="E19" t="s">
        <v>257</v>
      </c>
      <c r="F19" t="s">
        <v>260</v>
      </c>
      <c r="G19" s="1" t="s">
        <v>232</v>
      </c>
      <c r="H19">
        <f>IF(INDEX(FinalScore, MATCH(Table2[[#This Row],[Pick Column 1.1]],GolferName,0)) = "CUT", 999, INT(INDEX(FinalScore, MATCH(Table2[[#This Row],[Pick Column 1.1]],GolferName,0))))</f>
        <v>999</v>
      </c>
      <c r="I19">
        <f>IF(INDEX(FinalScore, MATCH(Table2[[#This Row],[Pick Column 1.2]],GolferName,0)) = "CUT", 999, INT(INDEX(FinalScore, MATCH(Table2[[#This Row],[Pick Column 1.2]],GolferName,0))))</f>
        <v>273</v>
      </c>
      <c r="J19">
        <f>IF(INDEX(FinalScore, MATCH(Table2[[#This Row],[Pick Column 2.1]],GolferName,0)) = "CUT", 999, INT(INDEX(FinalScore, MATCH(Table2[[#This Row],[Pick Column 2.1]],GolferName,0))))</f>
        <v>271</v>
      </c>
      <c r="K19">
        <f>IF(INDEX(FinalScore, MATCH(Table2[[#This Row],[Pick Column 2.2]],GolferName,0)) = "CUT", 999, INT(INDEX(FinalScore, MATCH(Table2[[#This Row],[Pick Column 2.2]],GolferName,0))))</f>
        <v>999</v>
      </c>
      <c r="L19" s="1">
        <f>IF(INDEX(FinalScore, MATCH(Table2[[#This Row],[Pick Column 2.3]],GolferName,0)) = "CUT", 999, INT(INDEX(FinalScore, MATCH(Table2[[#This Row],[Pick Column 2.3]],GolferName,0))))</f>
        <v>999</v>
      </c>
      <c r="M19">
        <f>_xlfn.IFNA(IF(COUNTIF(Table2[[#This Row],[Col 1.1 Score]:[Col 2.3 Score]], 999)&gt;1, 9999, SUM(Table2[[#This Row],[Col 1.1 Score]:[Col 2.3 Score]])-MAX(Table2[[#This Row],[Col 1.1 Score]:[Col 2.3 Score]])),999999)</f>
        <v>9999</v>
      </c>
      <c r="N19">
        <f>_xlfn.RANK.EQ(Table2[[#This Row],[Final Score (w/dropped)]],Table2[Final Score (w/dropped)],1)</f>
        <v>7</v>
      </c>
      <c r="P19" t="str">
        <f t="shared" si="0"/>
        <v>OUT</v>
      </c>
      <c r="Q19">
        <f>COUNTIF(Table2[[#This Row],[Col 1.1 Score]:[Col 2.3 Score]], "&gt;400")</f>
        <v>3</v>
      </c>
    </row>
    <row r="20" spans="1:17" x14ac:dyDescent="0.45">
      <c r="A20" t="s">
        <v>431</v>
      </c>
      <c r="C20" t="s">
        <v>91</v>
      </c>
      <c r="D20" t="s">
        <v>253</v>
      </c>
      <c r="E20" t="s">
        <v>259</v>
      </c>
      <c r="F20" t="s">
        <v>271</v>
      </c>
      <c r="G20" s="1" t="s">
        <v>43</v>
      </c>
      <c r="H20">
        <f>IF(INDEX(FinalScore, MATCH(Table2[[#This Row],[Pick Column 1.1]],GolferName,0)) = "CUT", 999, INT(INDEX(FinalScore, MATCH(Table2[[#This Row],[Pick Column 1.1]],GolferName,0))))</f>
        <v>999</v>
      </c>
      <c r="I20">
        <f>IF(INDEX(FinalScore, MATCH(Table2[[#This Row],[Pick Column 1.2]],GolferName,0)) = "CUT", 999, INT(INDEX(FinalScore, MATCH(Table2[[#This Row],[Pick Column 1.2]],GolferName,0))))</f>
        <v>268</v>
      </c>
      <c r="J20">
        <f>IF(INDEX(FinalScore, MATCH(Table2[[#This Row],[Pick Column 2.1]],GolferName,0)) = "CUT", 999, INT(INDEX(FinalScore, MATCH(Table2[[#This Row],[Pick Column 2.1]],GolferName,0))))</f>
        <v>999</v>
      </c>
      <c r="K20">
        <f>IF(INDEX(FinalScore, MATCH(Table2[[#This Row],[Pick Column 2.2]],GolferName,0)) = "CUT", 999, INT(INDEX(FinalScore, MATCH(Table2[[#This Row],[Pick Column 2.2]],GolferName,0))))</f>
        <v>275</v>
      </c>
      <c r="L20" s="1">
        <f>IF(INDEX(FinalScore, MATCH(Table2[[#This Row],[Pick Column 2.3]],GolferName,0)) = "CUT", 999, INT(INDEX(FinalScore, MATCH(Table2[[#This Row],[Pick Column 2.3]],GolferName,0))))</f>
        <v>282</v>
      </c>
      <c r="M20">
        <f>_xlfn.IFNA(IF(COUNTIF(Table2[[#This Row],[Col 1.1 Score]:[Col 2.3 Score]], 999)&gt;1, 9999, SUM(Table2[[#This Row],[Col 1.1 Score]:[Col 2.3 Score]])-MAX(Table2[[#This Row],[Col 1.1 Score]:[Col 2.3 Score]])),999999)</f>
        <v>9999</v>
      </c>
      <c r="N20">
        <f>_xlfn.RANK.EQ(Table2[[#This Row],[Final Score (w/dropped)]],Table2[Final Score (w/dropped)],1)</f>
        <v>7</v>
      </c>
      <c r="P20" t="str">
        <f t="shared" si="0"/>
        <v>OUT</v>
      </c>
      <c r="Q20">
        <f>COUNTIF(Table2[[#This Row],[Col 1.1 Score]:[Col 2.3 Score]], "&gt;400")</f>
        <v>2</v>
      </c>
    </row>
    <row r="21" spans="1:17" x14ac:dyDescent="0.45">
      <c r="A21" t="s">
        <v>432</v>
      </c>
      <c r="C21" t="s">
        <v>91</v>
      </c>
      <c r="D21" t="s">
        <v>73</v>
      </c>
      <c r="E21" t="s">
        <v>92</v>
      </c>
      <c r="F21" t="s">
        <v>258</v>
      </c>
      <c r="G21" s="1" t="s">
        <v>260</v>
      </c>
      <c r="H21">
        <f>IF(INDEX(FinalScore, MATCH(Table2[[#This Row],[Pick Column 1.1]],GolferName,0)) = "CUT", 999, INT(INDEX(FinalScore, MATCH(Table2[[#This Row],[Pick Column 1.1]],GolferName,0))))</f>
        <v>999</v>
      </c>
      <c r="I21">
        <f>IF(INDEX(FinalScore, MATCH(Table2[[#This Row],[Pick Column 1.2]],GolferName,0)) = "CUT", 999, INT(INDEX(FinalScore, MATCH(Table2[[#This Row],[Pick Column 1.2]],GolferName,0))))</f>
        <v>271</v>
      </c>
      <c r="J21">
        <f>IF(INDEX(FinalScore, MATCH(Table2[[#This Row],[Pick Column 2.1]],GolferName,0)) = "CUT", 999, INT(INDEX(FinalScore, MATCH(Table2[[#This Row],[Pick Column 2.1]],GolferName,0))))</f>
        <v>999</v>
      </c>
      <c r="K21">
        <f>IF(INDEX(FinalScore, MATCH(Table2[[#This Row],[Pick Column 2.2]],GolferName,0)) = "CUT", 999, INT(INDEX(FinalScore, MATCH(Table2[[#This Row],[Pick Column 2.2]],GolferName,0))))</f>
        <v>267</v>
      </c>
      <c r="L21" s="1">
        <f>IF(INDEX(FinalScore, MATCH(Table2[[#This Row],[Pick Column 2.3]],GolferName,0)) = "CUT", 999, INT(INDEX(FinalScore, MATCH(Table2[[#This Row],[Pick Column 2.3]],GolferName,0))))</f>
        <v>999</v>
      </c>
      <c r="M21">
        <f>_xlfn.IFNA(IF(COUNTIF(Table2[[#This Row],[Col 1.1 Score]:[Col 2.3 Score]], 999)&gt;1, 9999, SUM(Table2[[#This Row],[Col 1.1 Score]:[Col 2.3 Score]])-MAX(Table2[[#This Row],[Col 1.1 Score]:[Col 2.3 Score]])),999999)</f>
        <v>9999</v>
      </c>
      <c r="N21">
        <f>_xlfn.RANK.EQ(Table2[[#This Row],[Final Score (w/dropped)]],Table2[Final Score (w/dropped)],1)</f>
        <v>7</v>
      </c>
      <c r="P21" t="str">
        <f t="shared" si="0"/>
        <v>OUT</v>
      </c>
      <c r="Q21">
        <f>COUNTIF(Table2[[#This Row],[Col 1.1 Score]:[Col 2.3 Score]], "&gt;400")</f>
        <v>3</v>
      </c>
    </row>
    <row r="22" spans="1:17" x14ac:dyDescent="0.45">
      <c r="A22" t="s">
        <v>433</v>
      </c>
      <c r="C22" t="s">
        <v>107</v>
      </c>
      <c r="D22" t="s">
        <v>74</v>
      </c>
      <c r="E22" t="s">
        <v>257</v>
      </c>
      <c r="F22" t="s">
        <v>262</v>
      </c>
      <c r="G22" s="1" t="s">
        <v>263</v>
      </c>
      <c r="H22">
        <f>IF(INDEX(FinalScore, MATCH(Table2[[#This Row],[Pick Column 1.1]],GolferName,0)) = "CUT", 999, INT(INDEX(FinalScore, MATCH(Table2[[#This Row],[Pick Column 1.1]],GolferName,0))))</f>
        <v>271</v>
      </c>
      <c r="I22">
        <f>IF(INDEX(FinalScore, MATCH(Table2[[#This Row],[Pick Column 1.2]],GolferName,0)) = "CUT", 999, INT(INDEX(FinalScore, MATCH(Table2[[#This Row],[Pick Column 1.2]],GolferName,0))))</f>
        <v>272</v>
      </c>
      <c r="J22">
        <f>IF(INDEX(FinalScore, MATCH(Table2[[#This Row],[Pick Column 2.1]],GolferName,0)) = "CUT", 999, INT(INDEX(FinalScore, MATCH(Table2[[#This Row],[Pick Column 2.1]],GolferName,0))))</f>
        <v>271</v>
      </c>
      <c r="K22">
        <f>IF(INDEX(FinalScore, MATCH(Table2[[#This Row],[Pick Column 2.2]],GolferName,0)) = "CUT", 999, INT(INDEX(FinalScore, MATCH(Table2[[#This Row],[Pick Column 2.2]],GolferName,0))))</f>
        <v>279</v>
      </c>
      <c r="L22" s="1">
        <f>IF(INDEX(FinalScore, MATCH(Table2[[#This Row],[Pick Column 2.3]],GolferName,0)) = "CUT", 999, INT(INDEX(FinalScore, MATCH(Table2[[#This Row],[Pick Column 2.3]],GolferName,0))))</f>
        <v>999</v>
      </c>
      <c r="M22">
        <f>_xlfn.IFNA(IF(COUNTIF(Table2[[#This Row],[Col 1.1 Score]:[Col 2.3 Score]], 999)&gt;1, 9999, SUM(Table2[[#This Row],[Col 1.1 Score]:[Col 2.3 Score]])-MAX(Table2[[#This Row],[Col 1.1 Score]:[Col 2.3 Score]])),999999)</f>
        <v>1093</v>
      </c>
      <c r="N22">
        <f>_xlfn.RANK.EQ(Table2[[#This Row],[Final Score (w/dropped)]],Table2[Final Score (w/dropped)],1)</f>
        <v>5</v>
      </c>
      <c r="P22" t="str">
        <f t="shared" si="0"/>
        <v/>
      </c>
      <c r="Q22">
        <f>COUNTIF(Table2[[#This Row],[Col 1.1 Score]:[Col 2.3 Score]], "&gt;400")</f>
        <v>1</v>
      </c>
    </row>
    <row r="23" spans="1:17" x14ac:dyDescent="0.45">
      <c r="A23" t="s">
        <v>434</v>
      </c>
      <c r="C23" t="s">
        <v>73</v>
      </c>
      <c r="D23" t="s">
        <v>254</v>
      </c>
      <c r="E23" t="s">
        <v>92</v>
      </c>
      <c r="F23" t="s">
        <v>260</v>
      </c>
      <c r="G23" s="1" t="s">
        <v>266</v>
      </c>
      <c r="H23">
        <f>IF(INDEX(FinalScore, MATCH(Table2[[#This Row],[Pick Column 1.1]],GolferName,0)) = "CUT", 999, INT(INDEX(FinalScore, MATCH(Table2[[#This Row],[Pick Column 1.1]],GolferName,0))))</f>
        <v>271</v>
      </c>
      <c r="I23">
        <f>IF(INDEX(FinalScore, MATCH(Table2[[#This Row],[Pick Column 1.2]],GolferName,0)) = "CUT", 999, INT(INDEX(FinalScore, MATCH(Table2[[#This Row],[Pick Column 1.2]],GolferName,0))))</f>
        <v>266</v>
      </c>
      <c r="J23">
        <f>IF(INDEX(FinalScore, MATCH(Table2[[#This Row],[Pick Column 2.1]],GolferName,0)) = "CUT", 999, INT(INDEX(FinalScore, MATCH(Table2[[#This Row],[Pick Column 2.1]],GolferName,0))))</f>
        <v>999</v>
      </c>
      <c r="K23">
        <f>IF(INDEX(FinalScore, MATCH(Table2[[#This Row],[Pick Column 2.2]],GolferName,0)) = "CUT", 999, INT(INDEX(FinalScore, MATCH(Table2[[#This Row],[Pick Column 2.2]],GolferName,0))))</f>
        <v>999</v>
      </c>
      <c r="L23" s="1">
        <f>IF(INDEX(FinalScore, MATCH(Table2[[#This Row],[Pick Column 2.3]],GolferName,0)) = "CUT", 999, INT(INDEX(FinalScore, MATCH(Table2[[#This Row],[Pick Column 2.3]],GolferName,0))))</f>
        <v>272</v>
      </c>
      <c r="M23">
        <f>_xlfn.IFNA(IF(COUNTIF(Table2[[#This Row],[Col 1.1 Score]:[Col 2.3 Score]], 999)&gt;1, 9999, SUM(Table2[[#This Row],[Col 1.1 Score]:[Col 2.3 Score]])-MAX(Table2[[#This Row],[Col 1.1 Score]:[Col 2.3 Score]])),999999)</f>
        <v>9999</v>
      </c>
      <c r="N23">
        <f>_xlfn.RANK.EQ(Table2[[#This Row],[Final Score (w/dropped)]],Table2[Final Score (w/dropped)],1)</f>
        <v>7</v>
      </c>
      <c r="P23" t="str">
        <f t="shared" si="0"/>
        <v>OUT</v>
      </c>
      <c r="Q23">
        <f>COUNTIF(Table2[[#This Row],[Col 1.1 Score]:[Col 2.3 Score]], "&gt;400")</f>
        <v>2</v>
      </c>
    </row>
    <row r="24" spans="1:17" x14ac:dyDescent="0.45">
      <c r="A24" t="s">
        <v>435</v>
      </c>
      <c r="C24" t="s">
        <v>91</v>
      </c>
      <c r="D24" t="s">
        <v>223</v>
      </c>
      <c r="E24" t="s">
        <v>270</v>
      </c>
      <c r="F24" t="s">
        <v>273</v>
      </c>
      <c r="G24" s="1" t="s">
        <v>43</v>
      </c>
      <c r="H24">
        <f>IF(INDEX(FinalScore, MATCH(Table2[[#This Row],[Pick Column 1.1]],GolferName,0)) = "CUT", 999, INT(INDEX(FinalScore, MATCH(Table2[[#This Row],[Pick Column 1.1]],GolferName,0))))</f>
        <v>999</v>
      </c>
      <c r="I24">
        <f>IF(INDEX(FinalScore, MATCH(Table2[[#This Row],[Pick Column 1.2]],GolferName,0)) = "CUT", 999, INT(INDEX(FinalScore, MATCH(Table2[[#This Row],[Pick Column 1.2]],GolferName,0))))</f>
        <v>273</v>
      </c>
      <c r="J24">
        <f>IF(INDEX(FinalScore, MATCH(Table2[[#This Row],[Pick Column 2.1]],GolferName,0)) = "CUT", 999, INT(INDEX(FinalScore, MATCH(Table2[[#This Row],[Pick Column 2.1]],GolferName,0))))</f>
        <v>273</v>
      </c>
      <c r="K24">
        <f>IF(INDEX(FinalScore, MATCH(Table2[[#This Row],[Pick Column 2.2]],GolferName,0)) = "CUT", 999, INT(INDEX(FinalScore, MATCH(Table2[[#This Row],[Pick Column 2.2]],GolferName,0))))</f>
        <v>277</v>
      </c>
      <c r="L24" s="1">
        <f>IF(INDEX(FinalScore, MATCH(Table2[[#This Row],[Pick Column 2.3]],GolferName,0)) = "CUT", 999, INT(INDEX(FinalScore, MATCH(Table2[[#This Row],[Pick Column 2.3]],GolferName,0))))</f>
        <v>282</v>
      </c>
      <c r="M24">
        <f>_xlfn.IFNA(IF(COUNTIF(Table2[[#This Row],[Col 1.1 Score]:[Col 2.3 Score]], 999)&gt;1, 9999, SUM(Table2[[#This Row],[Col 1.1 Score]:[Col 2.3 Score]])-MAX(Table2[[#This Row],[Col 1.1 Score]:[Col 2.3 Score]])),999999)</f>
        <v>1105</v>
      </c>
      <c r="N24">
        <f>_xlfn.RANK.EQ(Table2[[#This Row],[Final Score (w/dropped)]],Table2[Final Score (w/dropped)],1)</f>
        <v>6</v>
      </c>
      <c r="P24" t="str">
        <f t="shared" si="0"/>
        <v/>
      </c>
      <c r="Q24">
        <f>COUNTIF(Table2[[#This Row],[Col 1.1 Score]:[Col 2.3 Score]], "&gt;400")</f>
        <v>1</v>
      </c>
    </row>
    <row r="25" spans="1:17" x14ac:dyDescent="0.45">
      <c r="A25" t="s">
        <v>436</v>
      </c>
      <c r="C25" t="s">
        <v>91</v>
      </c>
      <c r="D25" t="s">
        <v>95</v>
      </c>
      <c r="E25" t="s">
        <v>260</v>
      </c>
      <c r="F25" t="s">
        <v>103</v>
      </c>
      <c r="G25" s="1" t="s">
        <v>266</v>
      </c>
      <c r="H25">
        <f>IF(INDEX(FinalScore, MATCH(Table2[[#This Row],[Pick Column 1.1]],GolferName,0)) = "CUT", 999, INT(INDEX(FinalScore, MATCH(Table2[[#This Row],[Pick Column 1.1]],GolferName,0))))</f>
        <v>999</v>
      </c>
      <c r="I25">
        <f>IF(INDEX(FinalScore, MATCH(Table2[[#This Row],[Pick Column 1.2]],GolferName,0)) = "CUT", 999, INT(INDEX(FinalScore, MATCH(Table2[[#This Row],[Pick Column 1.2]],GolferName,0))))</f>
        <v>999</v>
      </c>
      <c r="J25">
        <f>IF(INDEX(FinalScore, MATCH(Table2[[#This Row],[Pick Column 2.1]],GolferName,0)) = "CUT", 999, INT(INDEX(FinalScore, MATCH(Table2[[#This Row],[Pick Column 2.1]],GolferName,0))))</f>
        <v>999</v>
      </c>
      <c r="K25">
        <f>IF(INDEX(FinalScore, MATCH(Table2[[#This Row],[Pick Column 2.2]],GolferName,0)) = "CUT", 999, INT(INDEX(FinalScore, MATCH(Table2[[#This Row],[Pick Column 2.2]],GolferName,0))))</f>
        <v>999</v>
      </c>
      <c r="L25" s="1">
        <f>IF(INDEX(FinalScore, MATCH(Table2[[#This Row],[Pick Column 2.3]],GolferName,0)) = "CUT", 999, INT(INDEX(FinalScore, MATCH(Table2[[#This Row],[Pick Column 2.3]],GolferName,0))))</f>
        <v>272</v>
      </c>
      <c r="M25">
        <f>_xlfn.IFNA(IF(COUNTIF(Table2[[#This Row],[Col 1.1 Score]:[Col 2.3 Score]], 999)&gt;1, 9999, SUM(Table2[[#This Row],[Col 1.1 Score]:[Col 2.3 Score]])-MAX(Table2[[#This Row],[Col 1.1 Score]:[Col 2.3 Score]])),999999)</f>
        <v>9999</v>
      </c>
      <c r="N25">
        <f>_xlfn.RANK.EQ(Table2[[#This Row],[Final Score (w/dropped)]],Table2[Final Score (w/dropped)],1)</f>
        <v>7</v>
      </c>
      <c r="P25" t="str">
        <f t="shared" si="0"/>
        <v>OUT</v>
      </c>
      <c r="Q25">
        <f>COUNTIF(Table2[[#This Row],[Col 1.1 Score]:[Col 2.3 Score]], "&gt;400")</f>
        <v>4</v>
      </c>
    </row>
    <row r="26" spans="1:17" x14ac:dyDescent="0.45">
      <c r="A26" t="s">
        <v>437</v>
      </c>
      <c r="C26" t="s">
        <v>69</v>
      </c>
      <c r="D26" t="s">
        <v>245</v>
      </c>
      <c r="E26" t="s">
        <v>257</v>
      </c>
      <c r="F26" t="s">
        <v>92</v>
      </c>
      <c r="G26" s="1" t="s">
        <v>258</v>
      </c>
      <c r="H26">
        <f>IF(INDEX(FinalScore, MATCH(Table2[[#This Row],[Pick Column 1.1]],GolferName,0)) = "CUT", 999, INT(INDEX(FinalScore, MATCH(Table2[[#This Row],[Pick Column 1.1]],GolferName,0))))</f>
        <v>999</v>
      </c>
      <c r="I26">
        <f>IF(INDEX(FinalScore, MATCH(Table2[[#This Row],[Pick Column 1.2]],GolferName,0)) = "CUT", 999, INT(INDEX(FinalScore, MATCH(Table2[[#This Row],[Pick Column 1.2]],GolferName,0))))</f>
        <v>999</v>
      </c>
      <c r="J26">
        <f>IF(INDEX(FinalScore, MATCH(Table2[[#This Row],[Pick Column 2.1]],GolferName,0)) = "CUT", 999, INT(INDEX(FinalScore, MATCH(Table2[[#This Row],[Pick Column 2.1]],GolferName,0))))</f>
        <v>271</v>
      </c>
      <c r="K26">
        <f>IF(INDEX(FinalScore, MATCH(Table2[[#This Row],[Pick Column 2.2]],GolferName,0)) = "CUT", 999, INT(INDEX(FinalScore, MATCH(Table2[[#This Row],[Pick Column 2.2]],GolferName,0))))</f>
        <v>999</v>
      </c>
      <c r="L26" s="1">
        <f>IF(INDEX(FinalScore, MATCH(Table2[[#This Row],[Pick Column 2.3]],GolferName,0)) = "CUT", 999, INT(INDEX(FinalScore, MATCH(Table2[[#This Row],[Pick Column 2.3]],GolferName,0))))</f>
        <v>267</v>
      </c>
      <c r="M26">
        <f>_xlfn.IFNA(IF(COUNTIF(Table2[[#This Row],[Col 1.1 Score]:[Col 2.3 Score]], 999)&gt;1, 9999, SUM(Table2[[#This Row],[Col 1.1 Score]:[Col 2.3 Score]])-MAX(Table2[[#This Row],[Col 1.1 Score]:[Col 2.3 Score]])),999999)</f>
        <v>9999</v>
      </c>
      <c r="N26">
        <f>_xlfn.RANK.EQ(Table2[[#This Row],[Final Score (w/dropped)]],Table2[Final Score (w/dropped)],1)</f>
        <v>7</v>
      </c>
      <c r="P26" t="str">
        <f t="shared" si="0"/>
        <v>OUT</v>
      </c>
      <c r="Q26">
        <f>COUNTIF(Table2[[#This Row],[Col 1.1 Score]:[Col 2.3 Score]], "&gt;400")</f>
        <v>3</v>
      </c>
    </row>
    <row r="27" spans="1:17" x14ac:dyDescent="0.45">
      <c r="A27" t="s">
        <v>438</v>
      </c>
      <c r="C27" t="s">
        <v>69</v>
      </c>
      <c r="D27" t="s">
        <v>91</v>
      </c>
      <c r="E27" t="s">
        <v>257</v>
      </c>
      <c r="F27" t="s">
        <v>92</v>
      </c>
      <c r="G27" s="1" t="s">
        <v>258</v>
      </c>
      <c r="H27">
        <f>IF(INDEX(FinalScore, MATCH(Table2[[#This Row],[Pick Column 1.1]],GolferName,0)) = "CUT", 999, INT(INDEX(FinalScore, MATCH(Table2[[#This Row],[Pick Column 1.1]],GolferName,0))))</f>
        <v>999</v>
      </c>
      <c r="I27">
        <f>IF(INDEX(FinalScore, MATCH(Table2[[#This Row],[Pick Column 1.2]],GolferName,0)) = "CUT", 999, INT(INDEX(FinalScore, MATCH(Table2[[#This Row],[Pick Column 1.2]],GolferName,0))))</f>
        <v>999</v>
      </c>
      <c r="J27">
        <f>IF(INDEX(FinalScore, MATCH(Table2[[#This Row],[Pick Column 2.1]],GolferName,0)) = "CUT", 999, INT(INDEX(FinalScore, MATCH(Table2[[#This Row],[Pick Column 2.1]],GolferName,0))))</f>
        <v>271</v>
      </c>
      <c r="K27">
        <f>IF(INDEX(FinalScore, MATCH(Table2[[#This Row],[Pick Column 2.2]],GolferName,0)) = "CUT", 999, INT(INDEX(FinalScore, MATCH(Table2[[#This Row],[Pick Column 2.2]],GolferName,0))))</f>
        <v>999</v>
      </c>
      <c r="L27" s="1">
        <f>IF(INDEX(FinalScore, MATCH(Table2[[#This Row],[Pick Column 2.3]],GolferName,0)) = "CUT", 999, INT(INDEX(FinalScore, MATCH(Table2[[#This Row],[Pick Column 2.3]],GolferName,0))))</f>
        <v>267</v>
      </c>
      <c r="M27">
        <f>_xlfn.IFNA(IF(COUNTIF(Table2[[#This Row],[Col 1.1 Score]:[Col 2.3 Score]], 999)&gt;1, 9999, SUM(Table2[[#This Row],[Col 1.1 Score]:[Col 2.3 Score]])-MAX(Table2[[#This Row],[Col 1.1 Score]:[Col 2.3 Score]])),999999)</f>
        <v>9999</v>
      </c>
      <c r="N27">
        <f>_xlfn.RANK.EQ(Table2[[#This Row],[Final Score (w/dropped)]],Table2[Final Score (w/dropped)],1)</f>
        <v>7</v>
      </c>
      <c r="P27" t="str">
        <f t="shared" si="0"/>
        <v>OUT</v>
      </c>
      <c r="Q27">
        <f>COUNTIF(Table2[[#This Row],[Col 1.1 Score]:[Col 2.3 Score]], "&gt;400")</f>
        <v>3</v>
      </c>
    </row>
    <row r="28" spans="1:17" x14ac:dyDescent="0.45">
      <c r="G28" s="1"/>
      <c r="H28" t="e">
        <f>IF(INDEX(FinalScore, MATCH(Table2[[#This Row],[Pick Column 1.1]],GolferName,0)) = "CUT", 999, INT(INDEX(FinalScore, MATCH(Table2[[#This Row],[Pick Column 1.1]],GolferName,0))))</f>
        <v>#N/A</v>
      </c>
      <c r="I28" t="e">
        <f>IF(INDEX(FinalScore, MATCH(Table2[[#This Row],[Pick Column 1.2]],GolferName,0)) = "CUT", 999, INT(INDEX(FinalScore, MATCH(Table2[[#This Row],[Pick Column 1.2]],GolferName,0))))</f>
        <v>#N/A</v>
      </c>
      <c r="J28" t="e">
        <f>IF(INDEX(FinalScore, MATCH(Table2[[#This Row],[Pick Column 2.1]],GolferName,0)) = "CUT", 999, INT(INDEX(FinalScore, MATCH(Table2[[#This Row],[Pick Column 2.1]],GolferName,0))))</f>
        <v>#N/A</v>
      </c>
      <c r="K28" t="e">
        <f>IF(INDEX(FinalScore, MATCH(Table2[[#This Row],[Pick Column 2.2]],GolferName,0)) = "CUT", 999, INT(INDEX(FinalScore, MATCH(Table2[[#This Row],[Pick Column 2.2]],GolferName,0))))</f>
        <v>#N/A</v>
      </c>
      <c r="L28" s="1" t="e">
        <f>IF(INDEX(FinalScore, MATCH(Table2[[#This Row],[Pick Column 2.3]],GolferName,0)) = "CUT", 999, INT(INDEX(FinalScore, MATCH(Table2[[#This Row],[Pick Column 2.3]],GolferName,0))))</f>
        <v>#N/A</v>
      </c>
      <c r="M2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28">
        <f>_xlfn.RANK.EQ(Table2[[#This Row],[Final Score (w/dropped)]],Table2[Final Score (w/dropped)],1)</f>
        <v>26</v>
      </c>
      <c r="P28" t="str">
        <f t="shared" si="0"/>
        <v/>
      </c>
      <c r="Q28">
        <f>COUNTIF(Table2[[#This Row],[Col 1.1 Score]:[Col 2.3 Score]], "&gt;400")</f>
        <v>0</v>
      </c>
    </row>
    <row r="29" spans="1:17" x14ac:dyDescent="0.45">
      <c r="G29" s="1"/>
      <c r="H29" t="e">
        <f>IF(INDEX(FinalScore, MATCH(Table2[[#This Row],[Pick Column 1.1]],GolferName,0)) = "CUT", 999, INT(INDEX(FinalScore, MATCH(Table2[[#This Row],[Pick Column 1.1]],GolferName,0))))</f>
        <v>#N/A</v>
      </c>
      <c r="I29" t="e">
        <f>IF(INDEX(FinalScore, MATCH(Table2[[#This Row],[Pick Column 1.2]],GolferName,0)) = "CUT", 999, INT(INDEX(FinalScore, MATCH(Table2[[#This Row],[Pick Column 1.2]],GolferName,0))))</f>
        <v>#N/A</v>
      </c>
      <c r="J29" t="e">
        <f>IF(INDEX(FinalScore, MATCH(Table2[[#This Row],[Pick Column 2.1]],GolferName,0)) = "CUT", 999, INT(INDEX(FinalScore, MATCH(Table2[[#This Row],[Pick Column 2.1]],GolferName,0))))</f>
        <v>#N/A</v>
      </c>
      <c r="K29" t="e">
        <f>IF(INDEX(FinalScore, MATCH(Table2[[#This Row],[Pick Column 2.2]],GolferName,0)) = "CUT", 999, INT(INDEX(FinalScore, MATCH(Table2[[#This Row],[Pick Column 2.2]],GolferName,0))))</f>
        <v>#N/A</v>
      </c>
      <c r="L29" s="1" t="e">
        <f>IF(INDEX(FinalScore, MATCH(Table2[[#This Row],[Pick Column 2.3]],GolferName,0)) = "CUT", 999, INT(INDEX(FinalScore, MATCH(Table2[[#This Row],[Pick Column 2.3]],GolferName,0))))</f>
        <v>#N/A</v>
      </c>
      <c r="M2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29">
        <f>_xlfn.RANK.EQ(Table2[[#This Row],[Final Score (w/dropped)]],Table2[Final Score (w/dropped)],1)</f>
        <v>26</v>
      </c>
      <c r="P29" t="str">
        <f t="shared" si="0"/>
        <v/>
      </c>
      <c r="Q29">
        <f>COUNTIF(Table2[[#This Row],[Col 1.1 Score]:[Col 2.3 Score]], "&gt;400")</f>
        <v>0</v>
      </c>
    </row>
    <row r="30" spans="1:17" x14ac:dyDescent="0.45">
      <c r="G30" s="1"/>
      <c r="H30" t="e">
        <f>IF(INDEX(FinalScore, MATCH(Table2[[#This Row],[Pick Column 1.1]],GolferName,0)) = "CUT", 999, INT(INDEX(FinalScore, MATCH(Table2[[#This Row],[Pick Column 1.1]],GolferName,0))))</f>
        <v>#N/A</v>
      </c>
      <c r="I30" t="e">
        <f>IF(INDEX(FinalScore, MATCH(Table2[[#This Row],[Pick Column 1.2]],GolferName,0)) = "CUT", 999, INT(INDEX(FinalScore, MATCH(Table2[[#This Row],[Pick Column 1.2]],GolferName,0))))</f>
        <v>#N/A</v>
      </c>
      <c r="J30" t="e">
        <f>IF(INDEX(FinalScore, MATCH(Table2[[#This Row],[Pick Column 2.1]],GolferName,0)) = "CUT", 999, INT(INDEX(FinalScore, MATCH(Table2[[#This Row],[Pick Column 2.1]],GolferName,0))))</f>
        <v>#N/A</v>
      </c>
      <c r="K30" t="e">
        <f>IF(INDEX(FinalScore, MATCH(Table2[[#This Row],[Pick Column 2.2]],GolferName,0)) = "CUT", 999, INT(INDEX(FinalScore, MATCH(Table2[[#This Row],[Pick Column 2.2]],GolferName,0))))</f>
        <v>#N/A</v>
      </c>
      <c r="L30" s="1" t="e">
        <f>IF(INDEX(FinalScore, MATCH(Table2[[#This Row],[Pick Column 2.3]],GolferName,0)) = "CUT", 999, INT(INDEX(FinalScore, MATCH(Table2[[#This Row],[Pick Column 2.3]],GolferName,0))))</f>
        <v>#N/A</v>
      </c>
      <c r="M3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0">
        <f>_xlfn.RANK.EQ(Table2[[#This Row],[Final Score (w/dropped)]],Table2[Final Score (w/dropped)],1)</f>
        <v>26</v>
      </c>
      <c r="P30" t="str">
        <f t="shared" si="0"/>
        <v/>
      </c>
      <c r="Q30">
        <f>COUNTIF(Table2[[#This Row],[Col 1.1 Score]:[Col 2.3 Score]], "&gt;400")</f>
        <v>0</v>
      </c>
    </row>
    <row r="31" spans="1:17" x14ac:dyDescent="0.45">
      <c r="G31" s="1"/>
      <c r="H31" t="e">
        <f>IF(INDEX(FinalScore, MATCH(Table2[[#This Row],[Pick Column 1.1]],GolferName,0)) = "CUT", 999, INT(INDEX(FinalScore, MATCH(Table2[[#This Row],[Pick Column 1.1]],GolferName,0))))</f>
        <v>#N/A</v>
      </c>
      <c r="I31" t="e">
        <f>IF(INDEX(FinalScore, MATCH(Table2[[#This Row],[Pick Column 1.2]],GolferName,0)) = "CUT", 999, INT(INDEX(FinalScore, MATCH(Table2[[#This Row],[Pick Column 1.2]],GolferName,0))))</f>
        <v>#N/A</v>
      </c>
      <c r="J31" t="e">
        <f>IF(INDEX(FinalScore, MATCH(Table2[[#This Row],[Pick Column 2.1]],GolferName,0)) = "CUT", 999, INT(INDEX(FinalScore, MATCH(Table2[[#This Row],[Pick Column 2.1]],GolferName,0))))</f>
        <v>#N/A</v>
      </c>
      <c r="K31" t="e">
        <f>IF(INDEX(FinalScore, MATCH(Table2[[#This Row],[Pick Column 2.2]],GolferName,0)) = "CUT", 999, INT(INDEX(FinalScore, MATCH(Table2[[#This Row],[Pick Column 2.2]],GolferName,0))))</f>
        <v>#N/A</v>
      </c>
      <c r="L31" s="1" t="e">
        <f>IF(INDEX(FinalScore, MATCH(Table2[[#This Row],[Pick Column 2.3]],GolferName,0)) = "CUT", 999, INT(INDEX(FinalScore, MATCH(Table2[[#This Row],[Pick Column 2.3]],GolferName,0))))</f>
        <v>#N/A</v>
      </c>
      <c r="M3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1">
        <f>_xlfn.RANK.EQ(Table2[[#This Row],[Final Score (w/dropped)]],Table2[Final Score (w/dropped)],1)</f>
        <v>26</v>
      </c>
      <c r="P31" t="str">
        <f t="shared" si="0"/>
        <v/>
      </c>
      <c r="Q31">
        <f>COUNTIF(Table2[[#This Row],[Col 1.1 Score]:[Col 2.3 Score]], "&gt;400")</f>
        <v>0</v>
      </c>
    </row>
    <row r="32" spans="1:17" x14ac:dyDescent="0.45">
      <c r="G32" s="1"/>
      <c r="H32" t="e">
        <f>IF(INDEX(FinalScore, MATCH(Table2[[#This Row],[Pick Column 1.1]],GolferName,0)) = "CUT", 999, INT(INDEX(FinalScore, MATCH(Table2[[#This Row],[Pick Column 1.1]],GolferName,0))))</f>
        <v>#N/A</v>
      </c>
      <c r="I32" t="e">
        <f>IF(INDEX(FinalScore, MATCH(Table2[[#This Row],[Pick Column 1.2]],GolferName,0)) = "CUT", 999, INT(INDEX(FinalScore, MATCH(Table2[[#This Row],[Pick Column 1.2]],GolferName,0))))</f>
        <v>#N/A</v>
      </c>
      <c r="J32" t="e">
        <f>IF(INDEX(FinalScore, MATCH(Table2[[#This Row],[Pick Column 2.1]],GolferName,0)) = "CUT", 999, INT(INDEX(FinalScore, MATCH(Table2[[#This Row],[Pick Column 2.1]],GolferName,0))))</f>
        <v>#N/A</v>
      </c>
      <c r="K32" t="e">
        <f>IF(INDEX(FinalScore, MATCH(Table2[[#This Row],[Pick Column 2.2]],GolferName,0)) = "CUT", 999, INT(INDEX(FinalScore, MATCH(Table2[[#This Row],[Pick Column 2.2]],GolferName,0))))</f>
        <v>#N/A</v>
      </c>
      <c r="L32" s="1" t="e">
        <f>IF(INDEX(FinalScore, MATCH(Table2[[#This Row],[Pick Column 2.3]],GolferName,0)) = "CUT", 999, INT(INDEX(FinalScore, MATCH(Table2[[#This Row],[Pick Column 2.3]],GolferName,0))))</f>
        <v>#N/A</v>
      </c>
      <c r="M3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2">
        <f>_xlfn.RANK.EQ(Table2[[#This Row],[Final Score (w/dropped)]],Table2[Final Score (w/dropped)],1)</f>
        <v>26</v>
      </c>
      <c r="P32" t="str">
        <f t="shared" si="0"/>
        <v/>
      </c>
      <c r="Q32">
        <f>COUNTIF(Table2[[#This Row],[Col 1.1 Score]:[Col 2.3 Score]], "&gt;400")</f>
        <v>0</v>
      </c>
    </row>
    <row r="33" spans="7:17" x14ac:dyDescent="0.45">
      <c r="G33" s="1"/>
      <c r="H33" t="e">
        <f>IF(INDEX(FinalScore, MATCH(Table2[[#This Row],[Pick Column 1.1]],GolferName,0)) = "CUT", 999, INT(INDEX(FinalScore, MATCH(Table2[[#This Row],[Pick Column 1.1]],GolferName,0))))</f>
        <v>#N/A</v>
      </c>
      <c r="I33" t="e">
        <f>IF(INDEX(FinalScore, MATCH(Table2[[#This Row],[Pick Column 1.2]],GolferName,0)) = "CUT", 999, INT(INDEX(FinalScore, MATCH(Table2[[#This Row],[Pick Column 1.2]],GolferName,0))))</f>
        <v>#N/A</v>
      </c>
      <c r="J33" t="e">
        <f>IF(INDEX(FinalScore, MATCH(Table2[[#This Row],[Pick Column 2.1]],GolferName,0)) = "CUT", 999, INT(INDEX(FinalScore, MATCH(Table2[[#This Row],[Pick Column 2.1]],GolferName,0))))</f>
        <v>#N/A</v>
      </c>
      <c r="K33" t="e">
        <f>IF(INDEX(FinalScore, MATCH(Table2[[#This Row],[Pick Column 2.2]],GolferName,0)) = "CUT", 999, INT(INDEX(FinalScore, MATCH(Table2[[#This Row],[Pick Column 2.2]],GolferName,0))))</f>
        <v>#N/A</v>
      </c>
      <c r="L33" s="1" t="e">
        <f>IF(INDEX(FinalScore, MATCH(Table2[[#This Row],[Pick Column 2.3]],GolferName,0)) = "CUT", 999, INT(INDEX(FinalScore, MATCH(Table2[[#This Row],[Pick Column 2.3]],GolferName,0))))</f>
        <v>#N/A</v>
      </c>
      <c r="M3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3">
        <f>_xlfn.RANK.EQ(Table2[[#This Row],[Final Score (w/dropped)]],Table2[Final Score (w/dropped)],1)</f>
        <v>26</v>
      </c>
      <c r="P33" t="str">
        <f t="shared" si="0"/>
        <v/>
      </c>
      <c r="Q33">
        <f>COUNTIF(Table2[[#This Row],[Col 1.1 Score]:[Col 2.3 Score]], "&gt;400")</f>
        <v>0</v>
      </c>
    </row>
    <row r="34" spans="7:17" x14ac:dyDescent="0.45">
      <c r="G34" s="1"/>
      <c r="H34" t="e">
        <f>IF(INDEX(FinalScore, MATCH(Table2[[#This Row],[Pick Column 1.1]],GolferName,0)) = "CUT", 999, INT(INDEX(FinalScore, MATCH(Table2[[#This Row],[Pick Column 1.1]],GolferName,0))))</f>
        <v>#N/A</v>
      </c>
      <c r="I34" t="e">
        <f>IF(INDEX(FinalScore, MATCH(Table2[[#This Row],[Pick Column 1.2]],GolferName,0)) = "CUT", 999, INT(INDEX(FinalScore, MATCH(Table2[[#This Row],[Pick Column 1.2]],GolferName,0))))</f>
        <v>#N/A</v>
      </c>
      <c r="J34" t="e">
        <f>IF(INDEX(FinalScore, MATCH(Table2[[#This Row],[Pick Column 2.1]],GolferName,0)) = "CUT", 999, INT(INDEX(FinalScore, MATCH(Table2[[#This Row],[Pick Column 2.1]],GolferName,0))))</f>
        <v>#N/A</v>
      </c>
      <c r="K34" t="e">
        <f>IF(INDEX(FinalScore, MATCH(Table2[[#This Row],[Pick Column 2.2]],GolferName,0)) = "CUT", 999, INT(INDEX(FinalScore, MATCH(Table2[[#This Row],[Pick Column 2.2]],GolferName,0))))</f>
        <v>#N/A</v>
      </c>
      <c r="L34" s="1" t="e">
        <f>IF(INDEX(FinalScore, MATCH(Table2[[#This Row],[Pick Column 2.3]],GolferName,0)) = "CUT", 999, INT(INDEX(FinalScore, MATCH(Table2[[#This Row],[Pick Column 2.3]],GolferName,0))))</f>
        <v>#N/A</v>
      </c>
      <c r="M3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4">
        <f>_xlfn.RANK.EQ(Table2[[#This Row],[Final Score (w/dropped)]],Table2[Final Score (w/dropped)],1)</f>
        <v>26</v>
      </c>
      <c r="P34" t="str">
        <f t="shared" si="0"/>
        <v/>
      </c>
      <c r="Q34">
        <f>COUNTIF(Table2[[#This Row],[Col 1.1 Score]:[Col 2.3 Score]], "&gt;400")</f>
        <v>0</v>
      </c>
    </row>
    <row r="35" spans="7:17" x14ac:dyDescent="0.45">
      <c r="G35" s="1"/>
      <c r="H35" t="e">
        <f>IF(INDEX(FinalScore, MATCH(Table2[[#This Row],[Pick Column 1.1]],GolferName,0)) = "CUT", 999, INT(INDEX(FinalScore, MATCH(Table2[[#This Row],[Pick Column 1.1]],GolferName,0))))</f>
        <v>#N/A</v>
      </c>
      <c r="I35" t="e">
        <f>IF(INDEX(FinalScore, MATCH(Table2[[#This Row],[Pick Column 1.2]],GolferName,0)) = "CUT", 999, INT(INDEX(FinalScore, MATCH(Table2[[#This Row],[Pick Column 1.2]],GolferName,0))))</f>
        <v>#N/A</v>
      </c>
      <c r="J35" t="e">
        <f>IF(INDEX(FinalScore, MATCH(Table2[[#This Row],[Pick Column 2.1]],GolferName,0)) = "CUT", 999, INT(INDEX(FinalScore, MATCH(Table2[[#This Row],[Pick Column 2.1]],GolferName,0))))</f>
        <v>#N/A</v>
      </c>
      <c r="K35" t="e">
        <f>IF(INDEX(FinalScore, MATCH(Table2[[#This Row],[Pick Column 2.2]],GolferName,0)) = "CUT", 999, INT(INDEX(FinalScore, MATCH(Table2[[#This Row],[Pick Column 2.2]],GolferName,0))))</f>
        <v>#N/A</v>
      </c>
      <c r="L35" s="1" t="e">
        <f>IF(INDEX(FinalScore, MATCH(Table2[[#This Row],[Pick Column 2.3]],GolferName,0)) = "CUT", 999, INT(INDEX(FinalScore, MATCH(Table2[[#This Row],[Pick Column 2.3]],GolferName,0))))</f>
        <v>#N/A</v>
      </c>
      <c r="M3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5">
        <f>_xlfn.RANK.EQ(Table2[[#This Row],[Final Score (w/dropped)]],Table2[Final Score (w/dropped)],1)</f>
        <v>26</v>
      </c>
      <c r="P35" t="str">
        <f t="shared" si="0"/>
        <v/>
      </c>
      <c r="Q35">
        <f>COUNTIF(Table2[[#This Row],[Col 1.1 Score]:[Col 2.3 Score]], "&gt;400")</f>
        <v>0</v>
      </c>
    </row>
    <row r="36" spans="7:17" x14ac:dyDescent="0.45">
      <c r="G36" s="1"/>
      <c r="H36" t="e">
        <f>IF(INDEX(FinalScore, MATCH(Table2[[#This Row],[Pick Column 1.1]],GolferName,0)) = "CUT", 999, INT(INDEX(FinalScore, MATCH(Table2[[#This Row],[Pick Column 1.1]],GolferName,0))))</f>
        <v>#N/A</v>
      </c>
      <c r="I36" t="e">
        <f>IF(INDEX(FinalScore, MATCH(Table2[[#This Row],[Pick Column 1.2]],GolferName,0)) = "CUT", 999, INT(INDEX(FinalScore, MATCH(Table2[[#This Row],[Pick Column 1.2]],GolferName,0))))</f>
        <v>#N/A</v>
      </c>
      <c r="J36" t="e">
        <f>IF(INDEX(FinalScore, MATCH(Table2[[#This Row],[Pick Column 2.1]],GolferName,0)) = "CUT", 999, INT(INDEX(FinalScore, MATCH(Table2[[#This Row],[Pick Column 2.1]],GolferName,0))))</f>
        <v>#N/A</v>
      </c>
      <c r="K36" t="e">
        <f>IF(INDEX(FinalScore, MATCH(Table2[[#This Row],[Pick Column 2.2]],GolferName,0)) = "CUT", 999, INT(INDEX(FinalScore, MATCH(Table2[[#This Row],[Pick Column 2.2]],GolferName,0))))</f>
        <v>#N/A</v>
      </c>
      <c r="L36" s="1" t="e">
        <f>IF(INDEX(FinalScore, MATCH(Table2[[#This Row],[Pick Column 2.3]],GolferName,0)) = "CUT", 999, INT(INDEX(FinalScore, MATCH(Table2[[#This Row],[Pick Column 2.3]],GolferName,0))))</f>
        <v>#N/A</v>
      </c>
      <c r="M3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6">
        <f>_xlfn.RANK.EQ(Table2[[#This Row],[Final Score (w/dropped)]],Table2[Final Score (w/dropped)],1)</f>
        <v>26</v>
      </c>
      <c r="P36" t="str">
        <f t="shared" si="0"/>
        <v/>
      </c>
      <c r="Q36">
        <f>COUNTIF(Table2[[#This Row],[Col 1.1 Score]:[Col 2.3 Score]], "&gt;400")</f>
        <v>0</v>
      </c>
    </row>
    <row r="37" spans="7:17" x14ac:dyDescent="0.45">
      <c r="G37" s="1"/>
      <c r="H37" t="e">
        <f>IF(INDEX(FinalScore, MATCH(Table2[[#This Row],[Pick Column 1.1]],GolferName,0)) = "CUT", 999, INT(INDEX(FinalScore, MATCH(Table2[[#This Row],[Pick Column 1.1]],GolferName,0))))</f>
        <v>#N/A</v>
      </c>
      <c r="I37" t="e">
        <f>IF(INDEX(FinalScore, MATCH(Table2[[#This Row],[Pick Column 1.2]],GolferName,0)) = "CUT", 999, INT(INDEX(FinalScore, MATCH(Table2[[#This Row],[Pick Column 1.2]],GolferName,0))))</f>
        <v>#N/A</v>
      </c>
      <c r="J37" t="e">
        <f>IF(INDEX(FinalScore, MATCH(Table2[[#This Row],[Pick Column 2.1]],GolferName,0)) = "CUT", 999, INT(INDEX(FinalScore, MATCH(Table2[[#This Row],[Pick Column 2.1]],GolferName,0))))</f>
        <v>#N/A</v>
      </c>
      <c r="K37" t="e">
        <f>IF(INDEX(FinalScore, MATCH(Table2[[#This Row],[Pick Column 2.2]],GolferName,0)) = "CUT", 999, INT(INDEX(FinalScore, MATCH(Table2[[#This Row],[Pick Column 2.2]],GolferName,0))))</f>
        <v>#N/A</v>
      </c>
      <c r="L37" s="1" t="e">
        <f>IF(INDEX(FinalScore, MATCH(Table2[[#This Row],[Pick Column 2.3]],GolferName,0)) = "CUT", 999, INT(INDEX(FinalScore, MATCH(Table2[[#This Row],[Pick Column 2.3]],GolferName,0))))</f>
        <v>#N/A</v>
      </c>
      <c r="M3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7">
        <f>_xlfn.RANK.EQ(Table2[[#This Row],[Final Score (w/dropped)]],Table2[Final Score (w/dropped)],1)</f>
        <v>26</v>
      </c>
      <c r="P37" t="str">
        <f t="shared" si="0"/>
        <v/>
      </c>
      <c r="Q37">
        <f>COUNTIF(Table2[[#This Row],[Col 1.1 Score]:[Col 2.3 Score]], "&gt;400")</f>
        <v>0</v>
      </c>
    </row>
    <row r="38" spans="7:17" x14ac:dyDescent="0.45">
      <c r="G38" s="1"/>
      <c r="H38" t="e">
        <f>IF(INDEX(FinalScore, MATCH(Table2[[#This Row],[Pick Column 1.1]],GolferName,0)) = "CUT", 999, INT(INDEX(FinalScore, MATCH(Table2[[#This Row],[Pick Column 1.1]],GolferName,0))))</f>
        <v>#N/A</v>
      </c>
      <c r="I38" t="e">
        <f>IF(INDEX(FinalScore, MATCH(Table2[[#This Row],[Pick Column 1.2]],GolferName,0)) = "CUT", 999, INT(INDEX(FinalScore, MATCH(Table2[[#This Row],[Pick Column 1.2]],GolferName,0))))</f>
        <v>#N/A</v>
      </c>
      <c r="J38" t="e">
        <f>IF(INDEX(FinalScore, MATCH(Table2[[#This Row],[Pick Column 2.1]],GolferName,0)) = "CUT", 999, INT(INDEX(FinalScore, MATCH(Table2[[#This Row],[Pick Column 2.1]],GolferName,0))))</f>
        <v>#N/A</v>
      </c>
      <c r="K38" t="e">
        <f>IF(INDEX(FinalScore, MATCH(Table2[[#This Row],[Pick Column 2.2]],GolferName,0)) = "CUT", 999, INT(INDEX(FinalScore, MATCH(Table2[[#This Row],[Pick Column 2.2]],GolferName,0))))</f>
        <v>#N/A</v>
      </c>
      <c r="L38" s="1" t="e">
        <f>IF(INDEX(FinalScore, MATCH(Table2[[#This Row],[Pick Column 2.3]],GolferName,0)) = "CUT", 999, INT(INDEX(FinalScore, MATCH(Table2[[#This Row],[Pick Column 2.3]],GolferName,0))))</f>
        <v>#N/A</v>
      </c>
      <c r="M3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8">
        <f>_xlfn.RANK.EQ(Table2[[#This Row],[Final Score (w/dropped)]],Table2[Final Score (w/dropped)],1)</f>
        <v>26</v>
      </c>
      <c r="P38" t="str">
        <f t="shared" si="0"/>
        <v/>
      </c>
      <c r="Q38">
        <f>COUNTIF(Table2[[#This Row],[Col 1.1 Score]:[Col 2.3 Score]], "&gt;400")</f>
        <v>0</v>
      </c>
    </row>
    <row r="39" spans="7:17" x14ac:dyDescent="0.45">
      <c r="G39" s="1"/>
      <c r="H39" t="e">
        <f>IF(INDEX(FinalScore, MATCH(Table2[[#This Row],[Pick Column 1.1]],GolferName,0)) = "CUT", 999, INT(INDEX(FinalScore, MATCH(Table2[[#This Row],[Pick Column 1.1]],GolferName,0))))</f>
        <v>#N/A</v>
      </c>
      <c r="I39" t="e">
        <f>IF(INDEX(FinalScore, MATCH(Table2[[#This Row],[Pick Column 1.2]],GolferName,0)) = "CUT", 999, INT(INDEX(FinalScore, MATCH(Table2[[#This Row],[Pick Column 1.2]],GolferName,0))))</f>
        <v>#N/A</v>
      </c>
      <c r="J39" t="e">
        <f>IF(INDEX(FinalScore, MATCH(Table2[[#This Row],[Pick Column 2.1]],GolferName,0)) = "CUT", 999, INT(INDEX(FinalScore, MATCH(Table2[[#This Row],[Pick Column 2.1]],GolferName,0))))</f>
        <v>#N/A</v>
      </c>
      <c r="K39" t="e">
        <f>IF(INDEX(FinalScore, MATCH(Table2[[#This Row],[Pick Column 2.2]],GolferName,0)) = "CUT", 999, INT(INDEX(FinalScore, MATCH(Table2[[#This Row],[Pick Column 2.2]],GolferName,0))))</f>
        <v>#N/A</v>
      </c>
      <c r="L39" s="1" t="e">
        <f>IF(INDEX(FinalScore, MATCH(Table2[[#This Row],[Pick Column 2.3]],GolferName,0)) = "CUT", 999, INT(INDEX(FinalScore, MATCH(Table2[[#This Row],[Pick Column 2.3]],GolferName,0))))</f>
        <v>#N/A</v>
      </c>
      <c r="M3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39">
        <f>_xlfn.RANK.EQ(Table2[[#This Row],[Final Score (w/dropped)]],Table2[Final Score (w/dropped)],1)</f>
        <v>26</v>
      </c>
      <c r="P39" t="str">
        <f t="shared" si="0"/>
        <v/>
      </c>
      <c r="Q39">
        <f>COUNTIF(Table2[[#This Row],[Col 1.1 Score]:[Col 2.3 Score]], "&gt;400")</f>
        <v>0</v>
      </c>
    </row>
    <row r="40" spans="7:17" x14ac:dyDescent="0.45">
      <c r="G40" s="1"/>
      <c r="H40" t="e">
        <f>IF(INDEX(FinalScore, MATCH(Table2[[#This Row],[Pick Column 1.1]],GolferName,0)) = "CUT", 999, INT(INDEX(FinalScore, MATCH(Table2[[#This Row],[Pick Column 1.1]],GolferName,0))))</f>
        <v>#N/A</v>
      </c>
      <c r="I40" t="e">
        <f>IF(INDEX(FinalScore, MATCH(Table2[[#This Row],[Pick Column 1.2]],GolferName,0)) = "CUT", 999, INT(INDEX(FinalScore, MATCH(Table2[[#This Row],[Pick Column 1.2]],GolferName,0))))</f>
        <v>#N/A</v>
      </c>
      <c r="J40" t="e">
        <f>IF(INDEX(FinalScore, MATCH(Table2[[#This Row],[Pick Column 2.1]],GolferName,0)) = "CUT", 999, INT(INDEX(FinalScore, MATCH(Table2[[#This Row],[Pick Column 2.1]],GolferName,0))))</f>
        <v>#N/A</v>
      </c>
      <c r="K40" t="e">
        <f>IF(INDEX(FinalScore, MATCH(Table2[[#This Row],[Pick Column 2.2]],GolferName,0)) = "CUT", 999, INT(INDEX(FinalScore, MATCH(Table2[[#This Row],[Pick Column 2.2]],GolferName,0))))</f>
        <v>#N/A</v>
      </c>
      <c r="L40" s="1" t="e">
        <f>IF(INDEX(FinalScore, MATCH(Table2[[#This Row],[Pick Column 2.3]],GolferName,0)) = "CUT", 999, INT(INDEX(FinalScore, MATCH(Table2[[#This Row],[Pick Column 2.3]],GolferName,0))))</f>
        <v>#N/A</v>
      </c>
      <c r="M4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0">
        <f>_xlfn.RANK.EQ(Table2[[#This Row],[Final Score (w/dropped)]],Table2[Final Score (w/dropped)],1)</f>
        <v>26</v>
      </c>
      <c r="P40" t="str">
        <f t="shared" si="0"/>
        <v/>
      </c>
      <c r="Q40">
        <f>COUNTIF(Table2[[#This Row],[Col 1.1 Score]:[Col 2.3 Score]], "&gt;400")</f>
        <v>0</v>
      </c>
    </row>
    <row r="41" spans="7:17" x14ac:dyDescent="0.45">
      <c r="G41" s="1"/>
      <c r="H41" t="e">
        <f>IF(INDEX(FinalScore, MATCH(Table2[[#This Row],[Pick Column 1.1]],GolferName,0)) = "CUT", 999, INT(INDEX(FinalScore, MATCH(Table2[[#This Row],[Pick Column 1.1]],GolferName,0))))</f>
        <v>#N/A</v>
      </c>
      <c r="I41" t="e">
        <f>IF(INDEX(FinalScore, MATCH(Table2[[#This Row],[Pick Column 1.2]],GolferName,0)) = "CUT", 999, INT(INDEX(FinalScore, MATCH(Table2[[#This Row],[Pick Column 1.2]],GolferName,0))))</f>
        <v>#N/A</v>
      </c>
      <c r="J41" t="e">
        <f>IF(INDEX(FinalScore, MATCH(Table2[[#This Row],[Pick Column 2.1]],GolferName,0)) = "CUT", 999, INT(INDEX(FinalScore, MATCH(Table2[[#This Row],[Pick Column 2.1]],GolferName,0))))</f>
        <v>#N/A</v>
      </c>
      <c r="K41" t="e">
        <f>IF(INDEX(FinalScore, MATCH(Table2[[#This Row],[Pick Column 2.2]],GolferName,0)) = "CUT", 999, INT(INDEX(FinalScore, MATCH(Table2[[#This Row],[Pick Column 2.2]],GolferName,0))))</f>
        <v>#N/A</v>
      </c>
      <c r="L41" s="1" t="e">
        <f>IF(INDEX(FinalScore, MATCH(Table2[[#This Row],[Pick Column 2.3]],GolferName,0)) = "CUT", 999, INT(INDEX(FinalScore, MATCH(Table2[[#This Row],[Pick Column 2.3]],GolferName,0))))</f>
        <v>#N/A</v>
      </c>
      <c r="M4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1">
        <f>_xlfn.RANK.EQ(Table2[[#This Row],[Final Score (w/dropped)]],Table2[Final Score (w/dropped)],1)</f>
        <v>26</v>
      </c>
      <c r="P41" t="str">
        <f t="shared" si="0"/>
        <v/>
      </c>
      <c r="Q41">
        <f>COUNTIF(Table2[[#This Row],[Col 1.1 Score]:[Col 2.3 Score]], "&gt;400")</f>
        <v>0</v>
      </c>
    </row>
    <row r="42" spans="7:17" x14ac:dyDescent="0.45">
      <c r="G42" s="1"/>
      <c r="H42" t="e">
        <f>IF(INDEX(FinalScore, MATCH(Table2[[#This Row],[Pick Column 1.1]],GolferName,0)) = "CUT", 999, INT(INDEX(FinalScore, MATCH(Table2[[#This Row],[Pick Column 1.1]],GolferName,0))))</f>
        <v>#N/A</v>
      </c>
      <c r="I42" t="e">
        <f>IF(INDEX(FinalScore, MATCH(Table2[[#This Row],[Pick Column 1.2]],GolferName,0)) = "CUT", 999, INT(INDEX(FinalScore, MATCH(Table2[[#This Row],[Pick Column 1.2]],GolferName,0))))</f>
        <v>#N/A</v>
      </c>
      <c r="J42" t="e">
        <f>IF(INDEX(FinalScore, MATCH(Table2[[#This Row],[Pick Column 2.1]],GolferName,0)) = "CUT", 999, INT(INDEX(FinalScore, MATCH(Table2[[#This Row],[Pick Column 2.1]],GolferName,0))))</f>
        <v>#N/A</v>
      </c>
      <c r="K42" t="e">
        <f>IF(INDEX(FinalScore, MATCH(Table2[[#This Row],[Pick Column 2.2]],GolferName,0)) = "CUT", 999, INT(INDEX(FinalScore, MATCH(Table2[[#This Row],[Pick Column 2.2]],GolferName,0))))</f>
        <v>#N/A</v>
      </c>
      <c r="L42" s="1" t="e">
        <f>IF(INDEX(FinalScore, MATCH(Table2[[#This Row],[Pick Column 2.3]],GolferName,0)) = "CUT", 999, INT(INDEX(FinalScore, MATCH(Table2[[#This Row],[Pick Column 2.3]],GolferName,0))))</f>
        <v>#N/A</v>
      </c>
      <c r="M4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2">
        <f>_xlfn.RANK.EQ(Table2[[#This Row],[Final Score (w/dropped)]],Table2[Final Score (w/dropped)],1)</f>
        <v>26</v>
      </c>
      <c r="P42" t="str">
        <f t="shared" si="0"/>
        <v/>
      </c>
      <c r="Q42">
        <f>COUNTIF(Table2[[#This Row],[Col 1.1 Score]:[Col 2.3 Score]], "&gt;400")</f>
        <v>0</v>
      </c>
    </row>
    <row r="43" spans="7:17" x14ac:dyDescent="0.45">
      <c r="G43" s="1"/>
      <c r="H43" t="e">
        <f>IF(INDEX(FinalScore, MATCH(Table2[[#This Row],[Pick Column 1.1]],GolferName,0)) = "CUT", 999, INT(INDEX(FinalScore, MATCH(Table2[[#This Row],[Pick Column 1.1]],GolferName,0))))</f>
        <v>#N/A</v>
      </c>
      <c r="I43" t="e">
        <f>IF(INDEX(FinalScore, MATCH(Table2[[#This Row],[Pick Column 1.2]],GolferName,0)) = "CUT", 999, INT(INDEX(FinalScore, MATCH(Table2[[#This Row],[Pick Column 1.2]],GolferName,0))))</f>
        <v>#N/A</v>
      </c>
      <c r="J43" t="e">
        <f>IF(INDEX(FinalScore, MATCH(Table2[[#This Row],[Pick Column 2.1]],GolferName,0)) = "CUT", 999, INT(INDEX(FinalScore, MATCH(Table2[[#This Row],[Pick Column 2.1]],GolferName,0))))</f>
        <v>#N/A</v>
      </c>
      <c r="K43" t="e">
        <f>IF(INDEX(FinalScore, MATCH(Table2[[#This Row],[Pick Column 2.2]],GolferName,0)) = "CUT", 999, INT(INDEX(FinalScore, MATCH(Table2[[#This Row],[Pick Column 2.2]],GolferName,0))))</f>
        <v>#N/A</v>
      </c>
      <c r="L43" s="1" t="e">
        <f>IF(INDEX(FinalScore, MATCH(Table2[[#This Row],[Pick Column 2.3]],GolferName,0)) = "CUT", 999, INT(INDEX(FinalScore, MATCH(Table2[[#This Row],[Pick Column 2.3]],GolferName,0))))</f>
        <v>#N/A</v>
      </c>
      <c r="M4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3">
        <f>_xlfn.RANK.EQ(Table2[[#This Row],[Final Score (w/dropped)]],Table2[Final Score (w/dropped)],1)</f>
        <v>26</v>
      </c>
      <c r="P43" t="str">
        <f t="shared" si="0"/>
        <v/>
      </c>
      <c r="Q43">
        <f>COUNTIF(Table2[[#This Row],[Col 1.1 Score]:[Col 2.3 Score]], "&gt;400")</f>
        <v>0</v>
      </c>
    </row>
    <row r="44" spans="7:17" x14ac:dyDescent="0.45">
      <c r="G44" s="1"/>
      <c r="H44" t="e">
        <f>IF(INDEX(FinalScore, MATCH(Table2[[#This Row],[Pick Column 1.1]],GolferName,0)) = "CUT", 999, INT(INDEX(FinalScore, MATCH(Table2[[#This Row],[Pick Column 1.1]],GolferName,0))))</f>
        <v>#N/A</v>
      </c>
      <c r="I44" t="e">
        <f>IF(INDEX(FinalScore, MATCH(Table2[[#This Row],[Pick Column 1.2]],GolferName,0)) = "CUT", 999, INT(INDEX(FinalScore, MATCH(Table2[[#This Row],[Pick Column 1.2]],GolferName,0))))</f>
        <v>#N/A</v>
      </c>
      <c r="J44" t="e">
        <f>IF(INDEX(FinalScore, MATCH(Table2[[#This Row],[Pick Column 2.1]],GolferName,0)) = "CUT", 999, INT(INDEX(FinalScore, MATCH(Table2[[#This Row],[Pick Column 2.1]],GolferName,0))))</f>
        <v>#N/A</v>
      </c>
      <c r="K44" t="e">
        <f>IF(INDEX(FinalScore, MATCH(Table2[[#This Row],[Pick Column 2.2]],GolferName,0)) = "CUT", 999, INT(INDEX(FinalScore, MATCH(Table2[[#This Row],[Pick Column 2.2]],GolferName,0))))</f>
        <v>#N/A</v>
      </c>
      <c r="L44" s="1" t="e">
        <f>IF(INDEX(FinalScore, MATCH(Table2[[#This Row],[Pick Column 2.3]],GolferName,0)) = "CUT", 999, INT(INDEX(FinalScore, MATCH(Table2[[#This Row],[Pick Column 2.3]],GolferName,0))))</f>
        <v>#N/A</v>
      </c>
      <c r="M4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4">
        <f>_xlfn.RANK.EQ(Table2[[#This Row],[Final Score (w/dropped)]],Table2[Final Score (w/dropped)],1)</f>
        <v>26</v>
      </c>
      <c r="P44" t="str">
        <f t="shared" si="0"/>
        <v/>
      </c>
      <c r="Q44">
        <f>COUNTIF(Table2[[#This Row],[Col 1.1 Score]:[Col 2.3 Score]], "&gt;400")</f>
        <v>0</v>
      </c>
    </row>
    <row r="45" spans="7:17" x14ac:dyDescent="0.45">
      <c r="G45" s="1"/>
      <c r="H45" t="e">
        <f>IF(INDEX(FinalScore, MATCH(Table2[[#This Row],[Pick Column 1.1]],GolferName,0)) = "CUT", 999, INT(INDEX(FinalScore, MATCH(Table2[[#This Row],[Pick Column 1.1]],GolferName,0))))</f>
        <v>#N/A</v>
      </c>
      <c r="I45" t="e">
        <f>IF(INDEX(FinalScore, MATCH(Table2[[#This Row],[Pick Column 1.2]],GolferName,0)) = "CUT", 999, INT(INDEX(FinalScore, MATCH(Table2[[#This Row],[Pick Column 1.2]],GolferName,0))))</f>
        <v>#N/A</v>
      </c>
      <c r="J45" t="e">
        <f>IF(INDEX(FinalScore, MATCH(Table2[[#This Row],[Pick Column 2.1]],GolferName,0)) = "CUT", 999, INT(INDEX(FinalScore, MATCH(Table2[[#This Row],[Pick Column 2.1]],GolferName,0))))</f>
        <v>#N/A</v>
      </c>
      <c r="K45" t="e">
        <f>IF(INDEX(FinalScore, MATCH(Table2[[#This Row],[Pick Column 2.2]],GolferName,0)) = "CUT", 999, INT(INDEX(FinalScore, MATCH(Table2[[#This Row],[Pick Column 2.2]],GolferName,0))))</f>
        <v>#N/A</v>
      </c>
      <c r="L45" s="1" t="e">
        <f>IF(INDEX(FinalScore, MATCH(Table2[[#This Row],[Pick Column 2.3]],GolferName,0)) = "CUT", 999, INT(INDEX(FinalScore, MATCH(Table2[[#This Row],[Pick Column 2.3]],GolferName,0))))</f>
        <v>#N/A</v>
      </c>
      <c r="M4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5">
        <f>_xlfn.RANK.EQ(Table2[[#This Row],[Final Score (w/dropped)]],Table2[Final Score (w/dropped)],1)</f>
        <v>26</v>
      </c>
      <c r="P45" t="str">
        <f t="shared" si="0"/>
        <v/>
      </c>
      <c r="Q45">
        <f>COUNTIF(Table2[[#This Row],[Col 1.1 Score]:[Col 2.3 Score]], "&gt;400")</f>
        <v>0</v>
      </c>
    </row>
    <row r="46" spans="7:17" x14ac:dyDescent="0.45">
      <c r="G46" s="1"/>
      <c r="H46" t="e">
        <f>IF(INDEX(FinalScore, MATCH(Table2[[#This Row],[Pick Column 1.1]],GolferName,0)) = "CUT", 999, INT(INDEX(FinalScore, MATCH(Table2[[#This Row],[Pick Column 1.1]],GolferName,0))))</f>
        <v>#N/A</v>
      </c>
      <c r="I46" t="e">
        <f>IF(INDEX(FinalScore, MATCH(Table2[[#This Row],[Pick Column 1.2]],GolferName,0)) = "CUT", 999, INT(INDEX(FinalScore, MATCH(Table2[[#This Row],[Pick Column 1.2]],GolferName,0))))</f>
        <v>#N/A</v>
      </c>
      <c r="J46" t="e">
        <f>IF(INDEX(FinalScore, MATCH(Table2[[#This Row],[Pick Column 2.1]],GolferName,0)) = "CUT", 999, INT(INDEX(FinalScore, MATCH(Table2[[#This Row],[Pick Column 2.1]],GolferName,0))))</f>
        <v>#N/A</v>
      </c>
      <c r="K46" t="e">
        <f>IF(INDEX(FinalScore, MATCH(Table2[[#This Row],[Pick Column 2.2]],GolferName,0)) = "CUT", 999, INT(INDEX(FinalScore, MATCH(Table2[[#This Row],[Pick Column 2.2]],GolferName,0))))</f>
        <v>#N/A</v>
      </c>
      <c r="L46" s="1" t="e">
        <f>IF(INDEX(FinalScore, MATCH(Table2[[#This Row],[Pick Column 2.3]],GolferName,0)) = "CUT", 999, INT(INDEX(FinalScore, MATCH(Table2[[#This Row],[Pick Column 2.3]],GolferName,0))))</f>
        <v>#N/A</v>
      </c>
      <c r="M4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6">
        <f>_xlfn.RANK.EQ(Table2[[#This Row],[Final Score (w/dropped)]],Table2[Final Score (w/dropped)],1)</f>
        <v>26</v>
      </c>
      <c r="P46" t="str">
        <f t="shared" si="0"/>
        <v/>
      </c>
      <c r="Q46">
        <f>COUNTIF(Table2[[#This Row],[Col 1.1 Score]:[Col 2.3 Score]], "&gt;400")</f>
        <v>0</v>
      </c>
    </row>
    <row r="47" spans="7:17" x14ac:dyDescent="0.45">
      <c r="G47" s="1"/>
      <c r="H47" t="e">
        <f>IF(INDEX(FinalScore, MATCH(Table2[[#This Row],[Pick Column 1.1]],GolferName,0)) = "CUT", 999, INT(INDEX(FinalScore, MATCH(Table2[[#This Row],[Pick Column 1.1]],GolferName,0))))</f>
        <v>#N/A</v>
      </c>
      <c r="I47" t="e">
        <f>IF(INDEX(FinalScore, MATCH(Table2[[#This Row],[Pick Column 1.2]],GolferName,0)) = "CUT", 999, INT(INDEX(FinalScore, MATCH(Table2[[#This Row],[Pick Column 1.2]],GolferName,0))))</f>
        <v>#N/A</v>
      </c>
      <c r="J47" t="e">
        <f>IF(INDEX(FinalScore, MATCH(Table2[[#This Row],[Pick Column 2.1]],GolferName,0)) = "CUT", 999, INT(INDEX(FinalScore, MATCH(Table2[[#This Row],[Pick Column 2.1]],GolferName,0))))</f>
        <v>#N/A</v>
      </c>
      <c r="K47" t="e">
        <f>IF(INDEX(FinalScore, MATCH(Table2[[#This Row],[Pick Column 2.2]],GolferName,0)) = "CUT", 999, INT(INDEX(FinalScore, MATCH(Table2[[#This Row],[Pick Column 2.2]],GolferName,0))))</f>
        <v>#N/A</v>
      </c>
      <c r="L47" s="1" t="e">
        <f>IF(INDEX(FinalScore, MATCH(Table2[[#This Row],[Pick Column 2.3]],GolferName,0)) = "CUT", 999, INT(INDEX(FinalScore, MATCH(Table2[[#This Row],[Pick Column 2.3]],GolferName,0))))</f>
        <v>#N/A</v>
      </c>
      <c r="M4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7">
        <f>_xlfn.RANK.EQ(Table2[[#This Row],[Final Score (w/dropped)]],Table2[Final Score (w/dropped)],1)</f>
        <v>26</v>
      </c>
      <c r="P47" t="str">
        <f t="shared" si="0"/>
        <v/>
      </c>
      <c r="Q47">
        <f>COUNTIF(Table2[[#This Row],[Col 1.1 Score]:[Col 2.3 Score]], "&gt;400")</f>
        <v>0</v>
      </c>
    </row>
    <row r="48" spans="7:17" x14ac:dyDescent="0.45">
      <c r="G48" s="1"/>
      <c r="H48" t="e">
        <f>IF(INDEX(FinalScore, MATCH(Table2[[#This Row],[Pick Column 1.1]],GolferName,0)) = "CUT", 999, INT(INDEX(FinalScore, MATCH(Table2[[#This Row],[Pick Column 1.1]],GolferName,0))))</f>
        <v>#N/A</v>
      </c>
      <c r="I48" t="e">
        <f>IF(INDEX(FinalScore, MATCH(Table2[[#This Row],[Pick Column 1.2]],GolferName,0)) = "CUT", 999, INT(INDEX(FinalScore, MATCH(Table2[[#This Row],[Pick Column 1.2]],GolferName,0))))</f>
        <v>#N/A</v>
      </c>
      <c r="J48" t="e">
        <f>IF(INDEX(FinalScore, MATCH(Table2[[#This Row],[Pick Column 2.1]],GolferName,0)) = "CUT", 999, INT(INDEX(FinalScore, MATCH(Table2[[#This Row],[Pick Column 2.1]],GolferName,0))))</f>
        <v>#N/A</v>
      </c>
      <c r="K48" t="e">
        <f>IF(INDEX(FinalScore, MATCH(Table2[[#This Row],[Pick Column 2.2]],GolferName,0)) = "CUT", 999, INT(INDEX(FinalScore, MATCH(Table2[[#This Row],[Pick Column 2.2]],GolferName,0))))</f>
        <v>#N/A</v>
      </c>
      <c r="L48" s="1" t="e">
        <f>IF(INDEX(FinalScore, MATCH(Table2[[#This Row],[Pick Column 2.3]],GolferName,0)) = "CUT", 999, INT(INDEX(FinalScore, MATCH(Table2[[#This Row],[Pick Column 2.3]],GolferName,0))))</f>
        <v>#N/A</v>
      </c>
      <c r="M4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8">
        <f>_xlfn.RANK.EQ(Table2[[#This Row],[Final Score (w/dropped)]],Table2[Final Score (w/dropped)],1)</f>
        <v>26</v>
      </c>
      <c r="P48" t="str">
        <f t="shared" si="0"/>
        <v/>
      </c>
      <c r="Q48">
        <f>COUNTIF(Table2[[#This Row],[Col 1.1 Score]:[Col 2.3 Score]], "&gt;400")</f>
        <v>0</v>
      </c>
    </row>
    <row r="49" spans="7:17" x14ac:dyDescent="0.45">
      <c r="G49" s="1"/>
      <c r="H49" t="e">
        <f>IF(INDEX(FinalScore, MATCH(Table2[[#This Row],[Pick Column 1.1]],GolferName,0)) = "CUT", 999, INT(INDEX(FinalScore, MATCH(Table2[[#This Row],[Pick Column 1.1]],GolferName,0))))</f>
        <v>#N/A</v>
      </c>
      <c r="I49" t="e">
        <f>IF(INDEX(FinalScore, MATCH(Table2[[#This Row],[Pick Column 1.2]],GolferName,0)) = "CUT", 999, INT(INDEX(FinalScore, MATCH(Table2[[#This Row],[Pick Column 1.2]],GolferName,0))))</f>
        <v>#N/A</v>
      </c>
      <c r="J49" t="e">
        <f>IF(INDEX(FinalScore, MATCH(Table2[[#This Row],[Pick Column 2.1]],GolferName,0)) = "CUT", 999, INT(INDEX(FinalScore, MATCH(Table2[[#This Row],[Pick Column 2.1]],GolferName,0))))</f>
        <v>#N/A</v>
      </c>
      <c r="K49" t="e">
        <f>IF(INDEX(FinalScore, MATCH(Table2[[#This Row],[Pick Column 2.2]],GolferName,0)) = "CUT", 999, INT(INDEX(FinalScore, MATCH(Table2[[#This Row],[Pick Column 2.2]],GolferName,0))))</f>
        <v>#N/A</v>
      </c>
      <c r="L49" s="1" t="e">
        <f>IF(INDEX(FinalScore, MATCH(Table2[[#This Row],[Pick Column 2.3]],GolferName,0)) = "CUT", 999, INT(INDEX(FinalScore, MATCH(Table2[[#This Row],[Pick Column 2.3]],GolferName,0))))</f>
        <v>#N/A</v>
      </c>
      <c r="M4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49">
        <f>_xlfn.RANK.EQ(Table2[[#This Row],[Final Score (w/dropped)]],Table2[Final Score (w/dropped)],1)</f>
        <v>26</v>
      </c>
      <c r="Q49">
        <f>COUNTIF(Table2[[#This Row],[Col 1.1 Score]:[Col 2.3 Score]], "&gt;400")</f>
        <v>0</v>
      </c>
    </row>
    <row r="50" spans="7:17" x14ac:dyDescent="0.45">
      <c r="G50" s="1"/>
      <c r="H50" t="e">
        <f>IF(INDEX(FinalScore, MATCH(Table2[[#This Row],[Pick Column 1.1]],GolferName,0)) = "CUT", 999, INT(INDEX(FinalScore, MATCH(Table2[[#This Row],[Pick Column 1.1]],GolferName,0))))</f>
        <v>#N/A</v>
      </c>
      <c r="I50" t="e">
        <f>IF(INDEX(FinalScore, MATCH(Table2[[#This Row],[Pick Column 1.2]],GolferName,0)) = "CUT", 999, INT(INDEX(FinalScore, MATCH(Table2[[#This Row],[Pick Column 1.2]],GolferName,0))))</f>
        <v>#N/A</v>
      </c>
      <c r="J50" t="e">
        <f>IF(INDEX(FinalScore, MATCH(Table2[[#This Row],[Pick Column 2.1]],GolferName,0)) = "CUT", 999, INT(INDEX(FinalScore, MATCH(Table2[[#This Row],[Pick Column 2.1]],GolferName,0))))</f>
        <v>#N/A</v>
      </c>
      <c r="K50" t="e">
        <f>IF(INDEX(FinalScore, MATCH(Table2[[#This Row],[Pick Column 2.2]],GolferName,0)) = "CUT", 999, INT(INDEX(FinalScore, MATCH(Table2[[#This Row],[Pick Column 2.2]],GolferName,0))))</f>
        <v>#N/A</v>
      </c>
      <c r="L50" s="1" t="e">
        <f>IF(INDEX(FinalScore, MATCH(Table2[[#This Row],[Pick Column 2.3]],GolferName,0)) = "CUT", 999, INT(INDEX(FinalScore, MATCH(Table2[[#This Row],[Pick Column 2.3]],GolferName,0))))</f>
        <v>#N/A</v>
      </c>
      <c r="M5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0">
        <f>_xlfn.RANK.EQ(Table2[[#This Row],[Final Score (w/dropped)]],Table2[Final Score (w/dropped)],1)</f>
        <v>26</v>
      </c>
      <c r="Q50">
        <f>COUNTIF(Table2[[#This Row],[Col 1.1 Score]:[Col 2.3 Score]], "&gt;400")</f>
        <v>0</v>
      </c>
    </row>
    <row r="51" spans="7:17" x14ac:dyDescent="0.45">
      <c r="G51" s="1"/>
      <c r="H51" t="e">
        <f>IF(INDEX(FinalScore, MATCH(Table2[[#This Row],[Pick Column 1.1]],GolferName,0)) = "CUT", 999, INT(INDEX(FinalScore, MATCH(Table2[[#This Row],[Pick Column 1.1]],GolferName,0))))</f>
        <v>#N/A</v>
      </c>
      <c r="I51" t="e">
        <f>IF(INDEX(FinalScore, MATCH(Table2[[#This Row],[Pick Column 1.2]],GolferName,0)) = "CUT", 999, INT(INDEX(FinalScore, MATCH(Table2[[#This Row],[Pick Column 1.2]],GolferName,0))))</f>
        <v>#N/A</v>
      </c>
      <c r="J51" t="e">
        <f>IF(INDEX(FinalScore, MATCH(Table2[[#This Row],[Pick Column 2.1]],GolferName,0)) = "CUT", 999, INT(INDEX(FinalScore, MATCH(Table2[[#This Row],[Pick Column 2.1]],GolferName,0))))</f>
        <v>#N/A</v>
      </c>
      <c r="K51" t="e">
        <f>IF(INDEX(FinalScore, MATCH(Table2[[#This Row],[Pick Column 2.2]],GolferName,0)) = "CUT", 999, INT(INDEX(FinalScore, MATCH(Table2[[#This Row],[Pick Column 2.2]],GolferName,0))))</f>
        <v>#N/A</v>
      </c>
      <c r="L51" s="1" t="e">
        <f>IF(INDEX(FinalScore, MATCH(Table2[[#This Row],[Pick Column 2.3]],GolferName,0)) = "CUT", 999, INT(INDEX(FinalScore, MATCH(Table2[[#This Row],[Pick Column 2.3]],GolferName,0))))</f>
        <v>#N/A</v>
      </c>
      <c r="M5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1">
        <f>_xlfn.RANK.EQ(Table2[[#This Row],[Final Score (w/dropped)]],Table2[Final Score (w/dropped)],1)</f>
        <v>26</v>
      </c>
      <c r="Q51">
        <f>COUNTIF(Table2[[#This Row],[Col 1.1 Score]:[Col 2.3 Score]], "&gt;400")</f>
        <v>0</v>
      </c>
    </row>
    <row r="52" spans="7:17" x14ac:dyDescent="0.45">
      <c r="G52" s="1"/>
      <c r="H52" t="e">
        <f>IF(INDEX(FinalScore, MATCH(Table2[[#This Row],[Pick Column 1.1]],GolferName,0)) = "CUT", 999, INT(INDEX(FinalScore, MATCH(Table2[[#This Row],[Pick Column 1.1]],GolferName,0))))</f>
        <v>#N/A</v>
      </c>
      <c r="I52" t="e">
        <f>IF(INDEX(FinalScore, MATCH(Table2[[#This Row],[Pick Column 1.2]],GolferName,0)) = "CUT", 999, INT(INDEX(FinalScore, MATCH(Table2[[#This Row],[Pick Column 1.2]],GolferName,0))))</f>
        <v>#N/A</v>
      </c>
      <c r="J52" t="e">
        <f>IF(INDEX(FinalScore, MATCH(Table2[[#This Row],[Pick Column 2.1]],GolferName,0)) = "CUT", 999, INT(INDEX(FinalScore, MATCH(Table2[[#This Row],[Pick Column 2.1]],GolferName,0))))</f>
        <v>#N/A</v>
      </c>
      <c r="K52" t="e">
        <f>IF(INDEX(FinalScore, MATCH(Table2[[#This Row],[Pick Column 2.2]],GolferName,0)) = "CUT", 999, INT(INDEX(FinalScore, MATCH(Table2[[#This Row],[Pick Column 2.2]],GolferName,0))))</f>
        <v>#N/A</v>
      </c>
      <c r="L52" s="1" t="e">
        <f>IF(INDEX(FinalScore, MATCH(Table2[[#This Row],[Pick Column 2.3]],GolferName,0)) = "CUT", 999, INT(INDEX(FinalScore, MATCH(Table2[[#This Row],[Pick Column 2.3]],GolferName,0))))</f>
        <v>#N/A</v>
      </c>
      <c r="M5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2">
        <f>_xlfn.RANK.EQ(Table2[[#This Row],[Final Score (w/dropped)]],Table2[Final Score (w/dropped)],1)</f>
        <v>26</v>
      </c>
      <c r="Q52">
        <f>COUNTIF(Table2[[#This Row],[Col 1.1 Score]:[Col 2.3 Score]], "&gt;400")</f>
        <v>0</v>
      </c>
    </row>
    <row r="53" spans="7:17" x14ac:dyDescent="0.45">
      <c r="G53" s="1"/>
      <c r="H53" t="e">
        <f>IF(INDEX(FinalScore, MATCH(Table2[[#This Row],[Pick Column 1.1]],GolferName,0)) = "CUT", 999, INT(INDEX(FinalScore, MATCH(Table2[[#This Row],[Pick Column 1.1]],GolferName,0))))</f>
        <v>#N/A</v>
      </c>
      <c r="I53" t="e">
        <f>IF(INDEX(FinalScore, MATCH(Table2[[#This Row],[Pick Column 1.2]],GolferName,0)) = "CUT", 999, INT(INDEX(FinalScore, MATCH(Table2[[#This Row],[Pick Column 1.2]],GolferName,0))))</f>
        <v>#N/A</v>
      </c>
      <c r="J53" t="e">
        <f>IF(INDEX(FinalScore, MATCH(Table2[[#This Row],[Pick Column 2.1]],GolferName,0)) = "CUT", 999, INT(INDEX(FinalScore, MATCH(Table2[[#This Row],[Pick Column 2.1]],GolferName,0))))</f>
        <v>#N/A</v>
      </c>
      <c r="K53" t="e">
        <f>IF(INDEX(FinalScore, MATCH(Table2[[#This Row],[Pick Column 2.2]],GolferName,0)) = "CUT", 999, INT(INDEX(FinalScore, MATCH(Table2[[#This Row],[Pick Column 2.2]],GolferName,0))))</f>
        <v>#N/A</v>
      </c>
      <c r="L53" s="1" t="e">
        <f>IF(INDEX(FinalScore, MATCH(Table2[[#This Row],[Pick Column 2.3]],GolferName,0)) = "CUT", 999, INT(INDEX(FinalScore, MATCH(Table2[[#This Row],[Pick Column 2.3]],GolferName,0))))</f>
        <v>#N/A</v>
      </c>
      <c r="M5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3">
        <f>_xlfn.RANK.EQ(Table2[[#This Row],[Final Score (w/dropped)]],Table2[Final Score (w/dropped)],1)</f>
        <v>26</v>
      </c>
      <c r="Q53">
        <f>COUNTIF(Table2[[#This Row],[Col 1.1 Score]:[Col 2.3 Score]], "&gt;400")</f>
        <v>0</v>
      </c>
    </row>
    <row r="54" spans="7:17" x14ac:dyDescent="0.45">
      <c r="G54" s="1"/>
      <c r="H54" t="e">
        <f>IF(INDEX(FinalScore, MATCH(Table2[[#This Row],[Pick Column 1.1]],GolferName,0)) = "CUT", 999, INT(INDEX(FinalScore, MATCH(Table2[[#This Row],[Pick Column 1.1]],GolferName,0))))</f>
        <v>#N/A</v>
      </c>
      <c r="I54" t="e">
        <f>IF(INDEX(FinalScore, MATCH(Table2[[#This Row],[Pick Column 1.2]],GolferName,0)) = "CUT", 999, INT(INDEX(FinalScore, MATCH(Table2[[#This Row],[Pick Column 1.2]],GolferName,0))))</f>
        <v>#N/A</v>
      </c>
      <c r="J54" t="e">
        <f>IF(INDEX(FinalScore, MATCH(Table2[[#This Row],[Pick Column 2.1]],GolferName,0)) = "CUT", 999, INT(INDEX(FinalScore, MATCH(Table2[[#This Row],[Pick Column 2.1]],GolferName,0))))</f>
        <v>#N/A</v>
      </c>
      <c r="K54" t="e">
        <f>IF(INDEX(FinalScore, MATCH(Table2[[#This Row],[Pick Column 2.2]],GolferName,0)) = "CUT", 999, INT(INDEX(FinalScore, MATCH(Table2[[#This Row],[Pick Column 2.2]],GolferName,0))))</f>
        <v>#N/A</v>
      </c>
      <c r="L54" s="1" t="e">
        <f>IF(INDEX(FinalScore, MATCH(Table2[[#This Row],[Pick Column 2.3]],GolferName,0)) = "CUT", 999, INT(INDEX(FinalScore, MATCH(Table2[[#This Row],[Pick Column 2.3]],GolferName,0))))</f>
        <v>#N/A</v>
      </c>
      <c r="M5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4">
        <f>_xlfn.RANK.EQ(Table2[[#This Row],[Final Score (w/dropped)]],Table2[Final Score (w/dropped)],1)</f>
        <v>26</v>
      </c>
      <c r="Q54">
        <f>COUNTIF(Table2[[#This Row],[Col 1.1 Score]:[Col 2.3 Score]], "&gt;400")</f>
        <v>0</v>
      </c>
    </row>
    <row r="55" spans="7:17" x14ac:dyDescent="0.45">
      <c r="G55" s="1"/>
      <c r="H55" t="e">
        <f>IF(INDEX(FinalScore, MATCH(Table2[[#This Row],[Pick Column 1.1]],GolferName,0)) = "CUT", 999, INT(INDEX(FinalScore, MATCH(Table2[[#This Row],[Pick Column 1.1]],GolferName,0))))</f>
        <v>#N/A</v>
      </c>
      <c r="I55" t="e">
        <f>IF(INDEX(FinalScore, MATCH(Table2[[#This Row],[Pick Column 1.2]],GolferName,0)) = "CUT", 999, INT(INDEX(FinalScore, MATCH(Table2[[#This Row],[Pick Column 1.2]],GolferName,0))))</f>
        <v>#N/A</v>
      </c>
      <c r="J55" t="e">
        <f>IF(INDEX(FinalScore, MATCH(Table2[[#This Row],[Pick Column 2.1]],GolferName,0)) = "CUT", 999, INT(INDEX(FinalScore, MATCH(Table2[[#This Row],[Pick Column 2.1]],GolferName,0))))</f>
        <v>#N/A</v>
      </c>
      <c r="K55" t="e">
        <f>IF(INDEX(FinalScore, MATCH(Table2[[#This Row],[Pick Column 2.2]],GolferName,0)) = "CUT", 999, INT(INDEX(FinalScore, MATCH(Table2[[#This Row],[Pick Column 2.2]],GolferName,0))))</f>
        <v>#N/A</v>
      </c>
      <c r="L55" s="1" t="e">
        <f>IF(INDEX(FinalScore, MATCH(Table2[[#This Row],[Pick Column 2.3]],GolferName,0)) = "CUT", 999, INT(INDEX(FinalScore, MATCH(Table2[[#This Row],[Pick Column 2.3]],GolferName,0))))</f>
        <v>#N/A</v>
      </c>
      <c r="M5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5">
        <f>_xlfn.RANK.EQ(Table2[[#This Row],[Final Score (w/dropped)]],Table2[Final Score (w/dropped)],1)</f>
        <v>26</v>
      </c>
      <c r="Q55">
        <f>COUNTIF(Table2[[#This Row],[Col 1.1 Score]:[Col 2.3 Score]], "&gt;400")</f>
        <v>0</v>
      </c>
    </row>
    <row r="56" spans="7:17" x14ac:dyDescent="0.45">
      <c r="G56" s="1"/>
      <c r="H56" t="e">
        <f>IF(INDEX(FinalScore, MATCH(Table2[[#This Row],[Pick Column 1.1]],GolferName,0)) = "CUT", 999, INT(INDEX(FinalScore, MATCH(Table2[[#This Row],[Pick Column 1.1]],GolferName,0))))</f>
        <v>#N/A</v>
      </c>
      <c r="I56" t="e">
        <f>IF(INDEX(FinalScore, MATCH(Table2[[#This Row],[Pick Column 1.2]],GolferName,0)) = "CUT", 999, INT(INDEX(FinalScore, MATCH(Table2[[#This Row],[Pick Column 1.2]],GolferName,0))))</f>
        <v>#N/A</v>
      </c>
      <c r="J56" t="e">
        <f>IF(INDEX(FinalScore, MATCH(Table2[[#This Row],[Pick Column 2.1]],GolferName,0)) = "CUT", 999, INT(INDEX(FinalScore, MATCH(Table2[[#This Row],[Pick Column 2.1]],GolferName,0))))</f>
        <v>#N/A</v>
      </c>
      <c r="K56" t="e">
        <f>IF(INDEX(FinalScore, MATCH(Table2[[#This Row],[Pick Column 2.2]],GolferName,0)) = "CUT", 999, INT(INDEX(FinalScore, MATCH(Table2[[#This Row],[Pick Column 2.2]],GolferName,0))))</f>
        <v>#N/A</v>
      </c>
      <c r="L56" s="1" t="e">
        <f>IF(INDEX(FinalScore, MATCH(Table2[[#This Row],[Pick Column 2.3]],GolferName,0)) = "CUT", 999, INT(INDEX(FinalScore, MATCH(Table2[[#This Row],[Pick Column 2.3]],GolferName,0))))</f>
        <v>#N/A</v>
      </c>
      <c r="M5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6">
        <f>_xlfn.RANK.EQ(Table2[[#This Row],[Final Score (w/dropped)]],Table2[Final Score (w/dropped)],1)</f>
        <v>26</v>
      </c>
      <c r="Q56">
        <f>COUNTIF(Table2[[#This Row],[Col 1.1 Score]:[Col 2.3 Score]], "&gt;400")</f>
        <v>0</v>
      </c>
    </row>
    <row r="57" spans="7:17" x14ac:dyDescent="0.45">
      <c r="G57" s="1"/>
      <c r="H57" t="e">
        <f>IF(INDEX(FinalScore, MATCH(Table2[[#This Row],[Pick Column 1.1]],GolferName,0)) = "CUT", 999, INT(INDEX(FinalScore, MATCH(Table2[[#This Row],[Pick Column 1.1]],GolferName,0))))</f>
        <v>#N/A</v>
      </c>
      <c r="I57" t="e">
        <f>IF(INDEX(FinalScore, MATCH(Table2[[#This Row],[Pick Column 1.2]],GolferName,0)) = "CUT", 999, INT(INDEX(FinalScore, MATCH(Table2[[#This Row],[Pick Column 1.2]],GolferName,0))))</f>
        <v>#N/A</v>
      </c>
      <c r="J57" t="e">
        <f>IF(INDEX(FinalScore, MATCH(Table2[[#This Row],[Pick Column 2.1]],GolferName,0)) = "CUT", 999, INT(INDEX(FinalScore, MATCH(Table2[[#This Row],[Pick Column 2.1]],GolferName,0))))</f>
        <v>#N/A</v>
      </c>
      <c r="K57" t="e">
        <f>IF(INDEX(FinalScore, MATCH(Table2[[#This Row],[Pick Column 2.2]],GolferName,0)) = "CUT", 999, INT(INDEX(FinalScore, MATCH(Table2[[#This Row],[Pick Column 2.2]],GolferName,0))))</f>
        <v>#N/A</v>
      </c>
      <c r="L57" s="1" t="e">
        <f>IF(INDEX(FinalScore, MATCH(Table2[[#This Row],[Pick Column 2.3]],GolferName,0)) = "CUT", 999, INT(INDEX(FinalScore, MATCH(Table2[[#This Row],[Pick Column 2.3]],GolferName,0))))</f>
        <v>#N/A</v>
      </c>
      <c r="M5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7">
        <f>_xlfn.RANK.EQ(Table2[[#This Row],[Final Score (w/dropped)]],Table2[Final Score (w/dropped)],1)</f>
        <v>26</v>
      </c>
      <c r="Q57">
        <f>COUNTIF(Table2[[#This Row],[Col 1.1 Score]:[Col 2.3 Score]], "&gt;400")</f>
        <v>0</v>
      </c>
    </row>
    <row r="58" spans="7:17" x14ac:dyDescent="0.45">
      <c r="G58" s="1"/>
      <c r="H58" t="e">
        <f>IF(INDEX(FinalScore, MATCH(Table2[[#This Row],[Pick Column 1.1]],GolferName,0)) = "CUT", 999, INT(INDEX(FinalScore, MATCH(Table2[[#This Row],[Pick Column 1.1]],GolferName,0))))</f>
        <v>#N/A</v>
      </c>
      <c r="I58" t="e">
        <f>IF(INDEX(FinalScore, MATCH(Table2[[#This Row],[Pick Column 1.2]],GolferName,0)) = "CUT", 999, INT(INDEX(FinalScore, MATCH(Table2[[#This Row],[Pick Column 1.2]],GolferName,0))))</f>
        <v>#N/A</v>
      </c>
      <c r="J58" t="e">
        <f>IF(INDEX(FinalScore, MATCH(Table2[[#This Row],[Pick Column 2.1]],GolferName,0)) = "CUT", 999, INT(INDEX(FinalScore, MATCH(Table2[[#This Row],[Pick Column 2.1]],GolferName,0))))</f>
        <v>#N/A</v>
      </c>
      <c r="K58" t="e">
        <f>IF(INDEX(FinalScore, MATCH(Table2[[#This Row],[Pick Column 2.2]],GolferName,0)) = "CUT", 999, INT(INDEX(FinalScore, MATCH(Table2[[#This Row],[Pick Column 2.2]],GolferName,0))))</f>
        <v>#N/A</v>
      </c>
      <c r="L58" s="1" t="e">
        <f>IF(INDEX(FinalScore, MATCH(Table2[[#This Row],[Pick Column 2.3]],GolferName,0)) = "CUT", 999, INT(INDEX(FinalScore, MATCH(Table2[[#This Row],[Pick Column 2.3]],GolferName,0))))</f>
        <v>#N/A</v>
      </c>
      <c r="M5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8">
        <f>_xlfn.RANK.EQ(Table2[[#This Row],[Final Score (w/dropped)]],Table2[Final Score (w/dropped)],1)</f>
        <v>26</v>
      </c>
      <c r="Q58">
        <f>COUNTIF(Table2[[#This Row],[Col 1.1 Score]:[Col 2.3 Score]], "&gt;400")</f>
        <v>0</v>
      </c>
    </row>
    <row r="59" spans="7:17" x14ac:dyDescent="0.45">
      <c r="G59" s="1"/>
      <c r="H59" t="e">
        <f>IF(INDEX(FinalScore, MATCH(Table2[[#This Row],[Pick Column 1.1]],GolferName,0)) = "CUT", 999, INT(INDEX(FinalScore, MATCH(Table2[[#This Row],[Pick Column 1.1]],GolferName,0))))</f>
        <v>#N/A</v>
      </c>
      <c r="I59" t="e">
        <f>IF(INDEX(FinalScore, MATCH(Table2[[#This Row],[Pick Column 1.2]],GolferName,0)) = "CUT", 999, INT(INDEX(FinalScore, MATCH(Table2[[#This Row],[Pick Column 1.2]],GolferName,0))))</f>
        <v>#N/A</v>
      </c>
      <c r="J59" t="e">
        <f>IF(INDEX(FinalScore, MATCH(Table2[[#This Row],[Pick Column 2.1]],GolferName,0)) = "CUT", 999, INT(INDEX(FinalScore, MATCH(Table2[[#This Row],[Pick Column 2.1]],GolferName,0))))</f>
        <v>#N/A</v>
      </c>
      <c r="K59" t="e">
        <f>IF(INDEX(FinalScore, MATCH(Table2[[#This Row],[Pick Column 2.2]],GolferName,0)) = "CUT", 999, INT(INDEX(FinalScore, MATCH(Table2[[#This Row],[Pick Column 2.2]],GolferName,0))))</f>
        <v>#N/A</v>
      </c>
      <c r="L59" s="1" t="e">
        <f>IF(INDEX(FinalScore, MATCH(Table2[[#This Row],[Pick Column 2.3]],GolferName,0)) = "CUT", 999, INT(INDEX(FinalScore, MATCH(Table2[[#This Row],[Pick Column 2.3]],GolferName,0))))</f>
        <v>#N/A</v>
      </c>
      <c r="M5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59">
        <f>_xlfn.RANK.EQ(Table2[[#This Row],[Final Score (w/dropped)]],Table2[Final Score (w/dropped)],1)</f>
        <v>26</v>
      </c>
      <c r="Q59">
        <f>COUNTIF(Table2[[#This Row],[Col 1.1 Score]:[Col 2.3 Score]], "&gt;400")</f>
        <v>0</v>
      </c>
    </row>
    <row r="60" spans="7:17" x14ac:dyDescent="0.45">
      <c r="G60" s="1"/>
      <c r="H60" t="e">
        <f>IF(INDEX(FinalScore, MATCH(Table2[[#This Row],[Pick Column 1.1]],GolferName,0)) = "CUT", 999, INT(INDEX(FinalScore, MATCH(Table2[[#This Row],[Pick Column 1.1]],GolferName,0))))</f>
        <v>#N/A</v>
      </c>
      <c r="I60" t="e">
        <f>IF(INDEX(FinalScore, MATCH(Table2[[#This Row],[Pick Column 1.2]],GolferName,0)) = "CUT", 999, INT(INDEX(FinalScore, MATCH(Table2[[#This Row],[Pick Column 1.2]],GolferName,0))))</f>
        <v>#N/A</v>
      </c>
      <c r="J60" t="e">
        <f>IF(INDEX(FinalScore, MATCH(Table2[[#This Row],[Pick Column 2.1]],GolferName,0)) = "CUT", 999, INT(INDEX(FinalScore, MATCH(Table2[[#This Row],[Pick Column 2.1]],GolferName,0))))</f>
        <v>#N/A</v>
      </c>
      <c r="K60" t="e">
        <f>IF(INDEX(FinalScore, MATCH(Table2[[#This Row],[Pick Column 2.2]],GolferName,0)) = "CUT", 999, INT(INDEX(FinalScore, MATCH(Table2[[#This Row],[Pick Column 2.2]],GolferName,0))))</f>
        <v>#N/A</v>
      </c>
      <c r="L60" s="1" t="e">
        <f>IF(INDEX(FinalScore, MATCH(Table2[[#This Row],[Pick Column 2.3]],GolferName,0)) = "CUT", 999, INT(INDEX(FinalScore, MATCH(Table2[[#This Row],[Pick Column 2.3]],GolferName,0))))</f>
        <v>#N/A</v>
      </c>
      <c r="M6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0">
        <f>_xlfn.RANK.EQ(Table2[[#This Row],[Final Score (w/dropped)]],Table2[Final Score (w/dropped)],1)</f>
        <v>26</v>
      </c>
      <c r="Q60">
        <f>COUNTIF(Table2[[#This Row],[Col 1.1 Score]:[Col 2.3 Score]], "&gt;400")</f>
        <v>0</v>
      </c>
    </row>
    <row r="61" spans="7:17" x14ac:dyDescent="0.45">
      <c r="G61" s="1"/>
      <c r="H61" t="e">
        <f>IF(INDEX(FinalScore, MATCH(Table2[[#This Row],[Pick Column 1.1]],GolferName,0)) = "CUT", 999, INT(INDEX(FinalScore, MATCH(Table2[[#This Row],[Pick Column 1.1]],GolferName,0))))</f>
        <v>#N/A</v>
      </c>
      <c r="I61" t="e">
        <f>IF(INDEX(FinalScore, MATCH(Table2[[#This Row],[Pick Column 1.2]],GolferName,0)) = "CUT", 999, INT(INDEX(FinalScore, MATCH(Table2[[#This Row],[Pick Column 1.2]],GolferName,0))))</f>
        <v>#N/A</v>
      </c>
      <c r="J61" t="e">
        <f>IF(INDEX(FinalScore, MATCH(Table2[[#This Row],[Pick Column 2.1]],GolferName,0)) = "CUT", 999, INT(INDEX(FinalScore, MATCH(Table2[[#This Row],[Pick Column 2.1]],GolferName,0))))</f>
        <v>#N/A</v>
      </c>
      <c r="K61" t="e">
        <f>IF(INDEX(FinalScore, MATCH(Table2[[#This Row],[Pick Column 2.2]],GolferName,0)) = "CUT", 999, INT(INDEX(FinalScore, MATCH(Table2[[#This Row],[Pick Column 2.2]],GolferName,0))))</f>
        <v>#N/A</v>
      </c>
      <c r="L61" s="1" t="e">
        <f>IF(INDEX(FinalScore, MATCH(Table2[[#This Row],[Pick Column 2.3]],GolferName,0)) = "CUT", 999, INT(INDEX(FinalScore, MATCH(Table2[[#This Row],[Pick Column 2.3]],GolferName,0))))</f>
        <v>#N/A</v>
      </c>
      <c r="M6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1">
        <f>_xlfn.RANK.EQ(Table2[[#This Row],[Final Score (w/dropped)]],Table2[Final Score (w/dropped)],1)</f>
        <v>26</v>
      </c>
      <c r="Q61">
        <f>COUNTIF(Table2[[#This Row],[Col 1.1 Score]:[Col 2.3 Score]], "&gt;400")</f>
        <v>0</v>
      </c>
    </row>
    <row r="62" spans="7:17" x14ac:dyDescent="0.45">
      <c r="G62" s="1"/>
      <c r="H62" t="e">
        <f>IF(INDEX(FinalScore, MATCH(Table2[[#This Row],[Pick Column 1.1]],GolferName,0)) = "CUT", 999, INT(INDEX(FinalScore, MATCH(Table2[[#This Row],[Pick Column 1.1]],GolferName,0))))</f>
        <v>#N/A</v>
      </c>
      <c r="I62" t="e">
        <f>IF(INDEX(FinalScore, MATCH(Table2[[#This Row],[Pick Column 1.2]],GolferName,0)) = "CUT", 999, INT(INDEX(FinalScore, MATCH(Table2[[#This Row],[Pick Column 1.2]],GolferName,0))))</f>
        <v>#N/A</v>
      </c>
      <c r="J62" t="e">
        <f>IF(INDEX(FinalScore, MATCH(Table2[[#This Row],[Pick Column 2.1]],GolferName,0)) = "CUT", 999, INT(INDEX(FinalScore, MATCH(Table2[[#This Row],[Pick Column 2.1]],GolferName,0))))</f>
        <v>#N/A</v>
      </c>
      <c r="K62" t="e">
        <f>IF(INDEX(FinalScore, MATCH(Table2[[#This Row],[Pick Column 2.2]],GolferName,0)) = "CUT", 999, INT(INDEX(FinalScore, MATCH(Table2[[#This Row],[Pick Column 2.2]],GolferName,0))))</f>
        <v>#N/A</v>
      </c>
      <c r="L62" s="1" t="e">
        <f>IF(INDEX(FinalScore, MATCH(Table2[[#This Row],[Pick Column 2.3]],GolferName,0)) = "CUT", 999, INT(INDEX(FinalScore, MATCH(Table2[[#This Row],[Pick Column 2.3]],GolferName,0))))</f>
        <v>#N/A</v>
      </c>
      <c r="M6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2">
        <f>_xlfn.RANK.EQ(Table2[[#This Row],[Final Score (w/dropped)]],Table2[Final Score (w/dropped)],1)</f>
        <v>26</v>
      </c>
      <c r="Q62">
        <f>COUNTIF(Table2[[#This Row],[Col 1.1 Score]:[Col 2.3 Score]], "&gt;400")</f>
        <v>0</v>
      </c>
    </row>
    <row r="63" spans="7:17" x14ac:dyDescent="0.45">
      <c r="G63" s="1"/>
      <c r="H63" t="e">
        <f>IF(INDEX(FinalScore, MATCH(Table2[[#This Row],[Pick Column 1.1]],GolferName,0)) = "CUT", 999, INT(INDEX(FinalScore, MATCH(Table2[[#This Row],[Pick Column 1.1]],GolferName,0))))</f>
        <v>#N/A</v>
      </c>
      <c r="I63" t="e">
        <f>IF(INDEX(FinalScore, MATCH(Table2[[#This Row],[Pick Column 1.2]],GolferName,0)) = "CUT", 999, INT(INDEX(FinalScore, MATCH(Table2[[#This Row],[Pick Column 1.2]],GolferName,0))))</f>
        <v>#N/A</v>
      </c>
      <c r="J63" t="e">
        <f>IF(INDEX(FinalScore, MATCH(Table2[[#This Row],[Pick Column 2.1]],GolferName,0)) = "CUT", 999, INT(INDEX(FinalScore, MATCH(Table2[[#This Row],[Pick Column 2.1]],GolferName,0))))</f>
        <v>#N/A</v>
      </c>
      <c r="K63" t="e">
        <f>IF(INDEX(FinalScore, MATCH(Table2[[#This Row],[Pick Column 2.2]],GolferName,0)) = "CUT", 999, INT(INDEX(FinalScore, MATCH(Table2[[#This Row],[Pick Column 2.2]],GolferName,0))))</f>
        <v>#N/A</v>
      </c>
      <c r="L63" s="1" t="e">
        <f>IF(INDEX(FinalScore, MATCH(Table2[[#This Row],[Pick Column 2.3]],GolferName,0)) = "CUT", 999, INT(INDEX(FinalScore, MATCH(Table2[[#This Row],[Pick Column 2.3]],GolferName,0))))</f>
        <v>#N/A</v>
      </c>
      <c r="M6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3">
        <f>_xlfn.RANK.EQ(Table2[[#This Row],[Final Score (w/dropped)]],Table2[Final Score (w/dropped)],1)</f>
        <v>26</v>
      </c>
      <c r="Q63">
        <f>COUNTIF(Table2[[#This Row],[Col 1.1 Score]:[Col 2.3 Score]], "&gt;400")</f>
        <v>0</v>
      </c>
    </row>
    <row r="64" spans="7:17" x14ac:dyDescent="0.45">
      <c r="G64" s="1"/>
      <c r="H64" t="e">
        <f>IF(INDEX(FinalScore, MATCH(Table2[[#This Row],[Pick Column 1.1]],GolferName,0)) = "CUT", 999, INT(INDEX(FinalScore, MATCH(Table2[[#This Row],[Pick Column 1.1]],GolferName,0))))</f>
        <v>#N/A</v>
      </c>
      <c r="I64" t="e">
        <f>IF(INDEX(FinalScore, MATCH(Table2[[#This Row],[Pick Column 1.2]],GolferName,0)) = "CUT", 999, INT(INDEX(FinalScore, MATCH(Table2[[#This Row],[Pick Column 1.2]],GolferName,0))))</f>
        <v>#N/A</v>
      </c>
      <c r="J64" t="e">
        <f>IF(INDEX(FinalScore, MATCH(Table2[[#This Row],[Pick Column 2.1]],GolferName,0)) = "CUT", 999, INT(INDEX(FinalScore, MATCH(Table2[[#This Row],[Pick Column 2.1]],GolferName,0))))</f>
        <v>#N/A</v>
      </c>
      <c r="K64" t="e">
        <f>IF(INDEX(FinalScore, MATCH(Table2[[#This Row],[Pick Column 2.2]],GolferName,0)) = "CUT", 999, INT(INDEX(FinalScore, MATCH(Table2[[#This Row],[Pick Column 2.2]],GolferName,0))))</f>
        <v>#N/A</v>
      </c>
      <c r="L64" s="1" t="e">
        <f>IF(INDEX(FinalScore, MATCH(Table2[[#This Row],[Pick Column 2.3]],GolferName,0)) = "CUT", 999, INT(INDEX(FinalScore, MATCH(Table2[[#This Row],[Pick Column 2.3]],GolferName,0))))</f>
        <v>#N/A</v>
      </c>
      <c r="M6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4">
        <f>_xlfn.RANK.EQ(Table2[[#This Row],[Final Score (w/dropped)]],Table2[Final Score (w/dropped)],1)</f>
        <v>26</v>
      </c>
      <c r="Q64">
        <f>COUNTIF(Table2[[#This Row],[Col 1.1 Score]:[Col 2.3 Score]], "&gt;400")</f>
        <v>0</v>
      </c>
    </row>
    <row r="65" spans="7:17" x14ac:dyDescent="0.45">
      <c r="G65" s="1"/>
      <c r="H65" t="e">
        <f>IF(INDEX(FinalScore, MATCH(Table2[[#This Row],[Pick Column 1.1]],GolferName,0)) = "CUT", 999, INT(INDEX(FinalScore, MATCH(Table2[[#This Row],[Pick Column 1.1]],GolferName,0))))</f>
        <v>#N/A</v>
      </c>
      <c r="I65" t="e">
        <f>IF(INDEX(FinalScore, MATCH(Table2[[#This Row],[Pick Column 1.2]],GolferName,0)) = "CUT", 999, INT(INDEX(FinalScore, MATCH(Table2[[#This Row],[Pick Column 1.2]],GolferName,0))))</f>
        <v>#N/A</v>
      </c>
      <c r="J65" t="e">
        <f>IF(INDEX(FinalScore, MATCH(Table2[[#This Row],[Pick Column 2.1]],GolferName,0)) = "CUT", 999, INT(INDEX(FinalScore, MATCH(Table2[[#This Row],[Pick Column 2.1]],GolferName,0))))</f>
        <v>#N/A</v>
      </c>
      <c r="K65" t="e">
        <f>IF(INDEX(FinalScore, MATCH(Table2[[#This Row],[Pick Column 2.2]],GolferName,0)) = "CUT", 999, INT(INDEX(FinalScore, MATCH(Table2[[#This Row],[Pick Column 2.2]],GolferName,0))))</f>
        <v>#N/A</v>
      </c>
      <c r="L65" s="1" t="e">
        <f>IF(INDEX(FinalScore, MATCH(Table2[[#This Row],[Pick Column 2.3]],GolferName,0)) = "CUT", 999, INT(INDEX(FinalScore, MATCH(Table2[[#This Row],[Pick Column 2.3]],GolferName,0))))</f>
        <v>#N/A</v>
      </c>
      <c r="M6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5">
        <f>_xlfn.RANK.EQ(Table2[[#This Row],[Final Score (w/dropped)]],Table2[Final Score (w/dropped)],1)</f>
        <v>26</v>
      </c>
      <c r="Q65">
        <f>COUNTIF(Table2[[#This Row],[Col 1.1 Score]:[Col 2.3 Score]], "&gt;400")</f>
        <v>0</v>
      </c>
    </row>
    <row r="66" spans="7:17" x14ac:dyDescent="0.45">
      <c r="G66" s="1"/>
      <c r="H66" t="e">
        <f>IF(INDEX(FinalScore, MATCH(Table2[[#This Row],[Pick Column 1.1]],GolferName,0)) = "CUT", 999, INT(INDEX(FinalScore, MATCH(Table2[[#This Row],[Pick Column 1.1]],GolferName,0))))</f>
        <v>#N/A</v>
      </c>
      <c r="I66" t="e">
        <f>IF(INDEX(FinalScore, MATCH(Table2[[#This Row],[Pick Column 1.2]],GolferName,0)) = "CUT", 999, INT(INDEX(FinalScore, MATCH(Table2[[#This Row],[Pick Column 1.2]],GolferName,0))))</f>
        <v>#N/A</v>
      </c>
      <c r="J66" t="e">
        <f>IF(INDEX(FinalScore, MATCH(Table2[[#This Row],[Pick Column 2.1]],GolferName,0)) = "CUT", 999, INT(INDEX(FinalScore, MATCH(Table2[[#This Row],[Pick Column 2.1]],GolferName,0))))</f>
        <v>#N/A</v>
      </c>
      <c r="K66" t="e">
        <f>IF(INDEX(FinalScore, MATCH(Table2[[#This Row],[Pick Column 2.2]],GolferName,0)) = "CUT", 999, INT(INDEX(FinalScore, MATCH(Table2[[#This Row],[Pick Column 2.2]],GolferName,0))))</f>
        <v>#N/A</v>
      </c>
      <c r="L66" s="1" t="e">
        <f>IF(INDEX(FinalScore, MATCH(Table2[[#This Row],[Pick Column 2.3]],GolferName,0)) = "CUT", 999, INT(INDEX(FinalScore, MATCH(Table2[[#This Row],[Pick Column 2.3]],GolferName,0))))</f>
        <v>#N/A</v>
      </c>
      <c r="M6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6">
        <f>_xlfn.RANK.EQ(Table2[[#This Row],[Final Score (w/dropped)]],Table2[Final Score (w/dropped)],1)</f>
        <v>26</v>
      </c>
      <c r="Q66">
        <f>COUNTIF(Table2[[#This Row],[Col 1.1 Score]:[Col 2.3 Score]], "&gt;400")</f>
        <v>0</v>
      </c>
    </row>
    <row r="67" spans="7:17" x14ac:dyDescent="0.45">
      <c r="G67" s="1"/>
      <c r="H67" t="e">
        <f>IF(INDEX(FinalScore, MATCH(Table2[[#This Row],[Pick Column 1.1]],GolferName,0)) = "CUT", 999, INT(INDEX(FinalScore, MATCH(Table2[[#This Row],[Pick Column 1.1]],GolferName,0))))</f>
        <v>#N/A</v>
      </c>
      <c r="I67" t="e">
        <f>IF(INDEX(FinalScore, MATCH(Table2[[#This Row],[Pick Column 1.2]],GolferName,0)) = "CUT", 999, INT(INDEX(FinalScore, MATCH(Table2[[#This Row],[Pick Column 1.2]],GolferName,0))))</f>
        <v>#N/A</v>
      </c>
      <c r="J67" t="e">
        <f>IF(INDEX(FinalScore, MATCH(Table2[[#This Row],[Pick Column 2.1]],GolferName,0)) = "CUT", 999, INT(INDEX(FinalScore, MATCH(Table2[[#This Row],[Pick Column 2.1]],GolferName,0))))</f>
        <v>#N/A</v>
      </c>
      <c r="K67" t="e">
        <f>IF(INDEX(FinalScore, MATCH(Table2[[#This Row],[Pick Column 2.2]],GolferName,0)) = "CUT", 999, INT(INDEX(FinalScore, MATCH(Table2[[#This Row],[Pick Column 2.2]],GolferName,0))))</f>
        <v>#N/A</v>
      </c>
      <c r="L67" s="1" t="e">
        <f>IF(INDEX(FinalScore, MATCH(Table2[[#This Row],[Pick Column 2.3]],GolferName,0)) = "CUT", 999, INT(INDEX(FinalScore, MATCH(Table2[[#This Row],[Pick Column 2.3]],GolferName,0))))</f>
        <v>#N/A</v>
      </c>
      <c r="M6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7">
        <f>_xlfn.RANK.EQ(Table2[[#This Row],[Final Score (w/dropped)]],Table2[Final Score (w/dropped)],1)</f>
        <v>26</v>
      </c>
      <c r="Q67">
        <f>COUNTIF(Table2[[#This Row],[Col 1.1 Score]:[Col 2.3 Score]], "&gt;400")</f>
        <v>0</v>
      </c>
    </row>
    <row r="68" spans="7:17" x14ac:dyDescent="0.45">
      <c r="G68" s="1"/>
      <c r="H68" t="e">
        <f>IF(INDEX(FinalScore, MATCH(Table2[[#This Row],[Pick Column 1.1]],GolferName,0)) = "CUT", 999, INT(INDEX(FinalScore, MATCH(Table2[[#This Row],[Pick Column 1.1]],GolferName,0))))</f>
        <v>#N/A</v>
      </c>
      <c r="I68" t="e">
        <f>IF(INDEX(FinalScore, MATCH(Table2[[#This Row],[Pick Column 1.2]],GolferName,0)) = "CUT", 999, INT(INDEX(FinalScore, MATCH(Table2[[#This Row],[Pick Column 1.2]],GolferName,0))))</f>
        <v>#N/A</v>
      </c>
      <c r="J68" t="e">
        <f>IF(INDEX(FinalScore, MATCH(Table2[[#This Row],[Pick Column 2.1]],GolferName,0)) = "CUT", 999, INT(INDEX(FinalScore, MATCH(Table2[[#This Row],[Pick Column 2.1]],GolferName,0))))</f>
        <v>#N/A</v>
      </c>
      <c r="K68" t="e">
        <f>IF(INDEX(FinalScore, MATCH(Table2[[#This Row],[Pick Column 2.2]],GolferName,0)) = "CUT", 999, INT(INDEX(FinalScore, MATCH(Table2[[#This Row],[Pick Column 2.2]],GolferName,0))))</f>
        <v>#N/A</v>
      </c>
      <c r="L68" s="1" t="e">
        <f>IF(INDEX(FinalScore, MATCH(Table2[[#This Row],[Pick Column 2.3]],GolferName,0)) = "CUT", 999, INT(INDEX(FinalScore, MATCH(Table2[[#This Row],[Pick Column 2.3]],GolferName,0))))</f>
        <v>#N/A</v>
      </c>
      <c r="M6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8">
        <f>_xlfn.RANK.EQ(Table2[[#This Row],[Final Score (w/dropped)]],Table2[Final Score (w/dropped)],1)</f>
        <v>26</v>
      </c>
      <c r="Q68">
        <f>COUNTIF(Table2[[#This Row],[Col 1.1 Score]:[Col 2.3 Score]], "&gt;400")</f>
        <v>0</v>
      </c>
    </row>
    <row r="69" spans="7:17" x14ac:dyDescent="0.45">
      <c r="G69" s="1"/>
      <c r="H69" t="e">
        <f>IF(INDEX(FinalScore, MATCH(Table2[[#This Row],[Pick Column 1.1]],GolferName,0)) = "CUT", 999, INT(INDEX(FinalScore, MATCH(Table2[[#This Row],[Pick Column 1.1]],GolferName,0))))</f>
        <v>#N/A</v>
      </c>
      <c r="I69" t="e">
        <f>IF(INDEX(FinalScore, MATCH(Table2[[#This Row],[Pick Column 1.2]],GolferName,0)) = "CUT", 999, INT(INDEX(FinalScore, MATCH(Table2[[#This Row],[Pick Column 1.2]],GolferName,0))))</f>
        <v>#N/A</v>
      </c>
      <c r="J69" t="e">
        <f>IF(INDEX(FinalScore, MATCH(Table2[[#This Row],[Pick Column 2.1]],GolferName,0)) = "CUT", 999, INT(INDEX(FinalScore, MATCH(Table2[[#This Row],[Pick Column 2.1]],GolferName,0))))</f>
        <v>#N/A</v>
      </c>
      <c r="K69" t="e">
        <f>IF(INDEX(FinalScore, MATCH(Table2[[#This Row],[Pick Column 2.2]],GolferName,0)) = "CUT", 999, INT(INDEX(FinalScore, MATCH(Table2[[#This Row],[Pick Column 2.2]],GolferName,0))))</f>
        <v>#N/A</v>
      </c>
      <c r="L69" s="1" t="e">
        <f>IF(INDEX(FinalScore, MATCH(Table2[[#This Row],[Pick Column 2.3]],GolferName,0)) = "CUT", 999, INT(INDEX(FinalScore, MATCH(Table2[[#This Row],[Pick Column 2.3]],GolferName,0))))</f>
        <v>#N/A</v>
      </c>
      <c r="M6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69">
        <f>_xlfn.RANK.EQ(Table2[[#This Row],[Final Score (w/dropped)]],Table2[Final Score (w/dropped)],1)</f>
        <v>26</v>
      </c>
      <c r="Q69">
        <f>COUNTIF(Table2[[#This Row],[Col 1.1 Score]:[Col 2.3 Score]], "&gt;400")</f>
        <v>0</v>
      </c>
    </row>
    <row r="70" spans="7:17" x14ac:dyDescent="0.45">
      <c r="G70" s="1"/>
      <c r="H70" t="e">
        <f>IF(INDEX(FinalScore, MATCH(Table2[[#This Row],[Pick Column 1.1]],GolferName,0)) = "CUT", 999, INT(INDEX(FinalScore, MATCH(Table2[[#This Row],[Pick Column 1.1]],GolferName,0))))</f>
        <v>#N/A</v>
      </c>
      <c r="I70" t="e">
        <f>IF(INDEX(FinalScore, MATCH(Table2[[#This Row],[Pick Column 1.2]],GolferName,0)) = "CUT", 999, INT(INDEX(FinalScore, MATCH(Table2[[#This Row],[Pick Column 1.2]],GolferName,0))))</f>
        <v>#N/A</v>
      </c>
      <c r="J70" t="e">
        <f>IF(INDEX(FinalScore, MATCH(Table2[[#This Row],[Pick Column 2.1]],GolferName,0)) = "CUT", 999, INT(INDEX(FinalScore, MATCH(Table2[[#This Row],[Pick Column 2.1]],GolferName,0))))</f>
        <v>#N/A</v>
      </c>
      <c r="K70" t="e">
        <f>IF(INDEX(FinalScore, MATCH(Table2[[#This Row],[Pick Column 2.2]],GolferName,0)) = "CUT", 999, INT(INDEX(FinalScore, MATCH(Table2[[#This Row],[Pick Column 2.2]],GolferName,0))))</f>
        <v>#N/A</v>
      </c>
      <c r="L70" s="1" t="e">
        <f>IF(INDEX(FinalScore, MATCH(Table2[[#This Row],[Pick Column 2.3]],GolferName,0)) = "CUT", 999, INT(INDEX(FinalScore, MATCH(Table2[[#This Row],[Pick Column 2.3]],GolferName,0))))</f>
        <v>#N/A</v>
      </c>
      <c r="M7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0">
        <f>_xlfn.RANK.EQ(Table2[[#This Row],[Final Score (w/dropped)]],Table2[Final Score (w/dropped)],1)</f>
        <v>26</v>
      </c>
      <c r="Q70">
        <f>COUNTIF(Table2[[#This Row],[Col 1.1 Score]:[Col 2.3 Score]], "&gt;400")</f>
        <v>0</v>
      </c>
    </row>
    <row r="71" spans="7:17" x14ac:dyDescent="0.45">
      <c r="G71" s="1"/>
      <c r="H71" t="e">
        <f>IF(INDEX(FinalScore, MATCH(Table2[[#This Row],[Pick Column 1.1]],GolferName,0)) = "CUT", 999, INT(INDEX(FinalScore, MATCH(Table2[[#This Row],[Pick Column 1.1]],GolferName,0))))</f>
        <v>#N/A</v>
      </c>
      <c r="I71" t="e">
        <f>IF(INDEX(FinalScore, MATCH(Table2[[#This Row],[Pick Column 1.2]],GolferName,0)) = "CUT", 999, INT(INDEX(FinalScore, MATCH(Table2[[#This Row],[Pick Column 1.2]],GolferName,0))))</f>
        <v>#N/A</v>
      </c>
      <c r="J71" t="e">
        <f>IF(INDEX(FinalScore, MATCH(Table2[[#This Row],[Pick Column 2.1]],GolferName,0)) = "CUT", 999, INT(INDEX(FinalScore, MATCH(Table2[[#This Row],[Pick Column 2.1]],GolferName,0))))</f>
        <v>#N/A</v>
      </c>
      <c r="K71" t="e">
        <f>IF(INDEX(FinalScore, MATCH(Table2[[#This Row],[Pick Column 2.2]],GolferName,0)) = "CUT", 999, INT(INDEX(FinalScore, MATCH(Table2[[#This Row],[Pick Column 2.2]],GolferName,0))))</f>
        <v>#N/A</v>
      </c>
      <c r="L71" s="1" t="e">
        <f>IF(INDEX(FinalScore, MATCH(Table2[[#This Row],[Pick Column 2.3]],GolferName,0)) = "CUT", 999, INT(INDEX(FinalScore, MATCH(Table2[[#This Row],[Pick Column 2.3]],GolferName,0))))</f>
        <v>#N/A</v>
      </c>
      <c r="M7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1">
        <f>_xlfn.RANK.EQ(Table2[[#This Row],[Final Score (w/dropped)]],Table2[Final Score (w/dropped)],1)</f>
        <v>26</v>
      </c>
      <c r="Q71">
        <f>COUNTIF(Table2[[#This Row],[Col 1.1 Score]:[Col 2.3 Score]], "&gt;400")</f>
        <v>0</v>
      </c>
    </row>
    <row r="72" spans="7:17" x14ac:dyDescent="0.45">
      <c r="G72" s="1"/>
      <c r="H72" t="e">
        <f>IF(INDEX(FinalScore, MATCH(Table2[[#This Row],[Pick Column 1.1]],GolferName,0)) = "CUT", 999, INT(INDEX(FinalScore, MATCH(Table2[[#This Row],[Pick Column 1.1]],GolferName,0))))</f>
        <v>#N/A</v>
      </c>
      <c r="I72" t="e">
        <f>IF(INDEX(FinalScore, MATCH(Table2[[#This Row],[Pick Column 1.2]],GolferName,0)) = "CUT", 999, INT(INDEX(FinalScore, MATCH(Table2[[#This Row],[Pick Column 1.2]],GolferName,0))))</f>
        <v>#N/A</v>
      </c>
      <c r="J72" t="e">
        <f>IF(INDEX(FinalScore, MATCH(Table2[[#This Row],[Pick Column 2.1]],GolferName,0)) = "CUT", 999, INT(INDEX(FinalScore, MATCH(Table2[[#This Row],[Pick Column 2.1]],GolferName,0))))</f>
        <v>#N/A</v>
      </c>
      <c r="K72" t="e">
        <f>IF(INDEX(FinalScore, MATCH(Table2[[#This Row],[Pick Column 2.2]],GolferName,0)) = "CUT", 999, INT(INDEX(FinalScore, MATCH(Table2[[#This Row],[Pick Column 2.2]],GolferName,0))))</f>
        <v>#N/A</v>
      </c>
      <c r="L72" s="1" t="e">
        <f>IF(INDEX(FinalScore, MATCH(Table2[[#This Row],[Pick Column 2.3]],GolferName,0)) = "CUT", 999, INT(INDEX(FinalScore, MATCH(Table2[[#This Row],[Pick Column 2.3]],GolferName,0))))</f>
        <v>#N/A</v>
      </c>
      <c r="M7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2">
        <f>_xlfn.RANK.EQ(Table2[[#This Row],[Final Score (w/dropped)]],Table2[Final Score (w/dropped)],1)</f>
        <v>26</v>
      </c>
      <c r="Q72">
        <f>COUNTIF(Table2[[#This Row],[Col 1.1 Score]:[Col 2.3 Score]], "&gt;400")</f>
        <v>0</v>
      </c>
    </row>
    <row r="73" spans="7:17" x14ac:dyDescent="0.45">
      <c r="G73" s="1"/>
      <c r="H73" t="e">
        <f>IF(INDEX(FinalScore, MATCH(Table2[[#This Row],[Pick Column 1.1]],GolferName,0)) = "CUT", 999, INT(INDEX(FinalScore, MATCH(Table2[[#This Row],[Pick Column 1.1]],GolferName,0))))</f>
        <v>#N/A</v>
      </c>
      <c r="I73" t="e">
        <f>IF(INDEX(FinalScore, MATCH(Table2[[#This Row],[Pick Column 1.2]],GolferName,0)) = "CUT", 999, INT(INDEX(FinalScore, MATCH(Table2[[#This Row],[Pick Column 1.2]],GolferName,0))))</f>
        <v>#N/A</v>
      </c>
      <c r="J73" t="e">
        <f>IF(INDEX(FinalScore, MATCH(Table2[[#This Row],[Pick Column 2.1]],GolferName,0)) = "CUT", 999, INT(INDEX(FinalScore, MATCH(Table2[[#This Row],[Pick Column 2.1]],GolferName,0))))</f>
        <v>#N/A</v>
      </c>
      <c r="K73" t="e">
        <f>IF(INDEX(FinalScore, MATCH(Table2[[#This Row],[Pick Column 2.2]],GolferName,0)) = "CUT", 999, INT(INDEX(FinalScore, MATCH(Table2[[#This Row],[Pick Column 2.2]],GolferName,0))))</f>
        <v>#N/A</v>
      </c>
      <c r="L73" s="1" t="e">
        <f>IF(INDEX(FinalScore, MATCH(Table2[[#This Row],[Pick Column 2.3]],GolferName,0)) = "CUT", 999, INT(INDEX(FinalScore, MATCH(Table2[[#This Row],[Pick Column 2.3]],GolferName,0))))</f>
        <v>#N/A</v>
      </c>
      <c r="M7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3">
        <f>_xlfn.RANK.EQ(Table2[[#This Row],[Final Score (w/dropped)]],Table2[Final Score (w/dropped)],1)</f>
        <v>26</v>
      </c>
      <c r="Q73">
        <f>COUNTIF(Table2[[#This Row],[Col 1.1 Score]:[Col 2.3 Score]], "&gt;400")</f>
        <v>0</v>
      </c>
    </row>
    <row r="74" spans="7:17" x14ac:dyDescent="0.45">
      <c r="G74" s="1"/>
      <c r="H74" t="e">
        <f>IF(INDEX(FinalScore, MATCH(Table2[[#This Row],[Pick Column 1.1]],GolferName,0)) = "CUT", 999, INT(INDEX(FinalScore, MATCH(Table2[[#This Row],[Pick Column 1.1]],GolferName,0))))</f>
        <v>#N/A</v>
      </c>
      <c r="I74" t="e">
        <f>IF(INDEX(FinalScore, MATCH(Table2[[#This Row],[Pick Column 1.2]],GolferName,0)) = "CUT", 999, INT(INDEX(FinalScore, MATCH(Table2[[#This Row],[Pick Column 1.2]],GolferName,0))))</f>
        <v>#N/A</v>
      </c>
      <c r="J74" t="e">
        <f>IF(INDEX(FinalScore, MATCH(Table2[[#This Row],[Pick Column 2.1]],GolferName,0)) = "CUT", 999, INT(INDEX(FinalScore, MATCH(Table2[[#This Row],[Pick Column 2.1]],GolferName,0))))</f>
        <v>#N/A</v>
      </c>
      <c r="K74" t="e">
        <f>IF(INDEX(FinalScore, MATCH(Table2[[#This Row],[Pick Column 2.2]],GolferName,0)) = "CUT", 999, INT(INDEX(FinalScore, MATCH(Table2[[#This Row],[Pick Column 2.2]],GolferName,0))))</f>
        <v>#N/A</v>
      </c>
      <c r="L74" s="1" t="e">
        <f>IF(INDEX(FinalScore, MATCH(Table2[[#This Row],[Pick Column 2.3]],GolferName,0)) = "CUT", 999, INT(INDEX(FinalScore, MATCH(Table2[[#This Row],[Pick Column 2.3]],GolferName,0))))</f>
        <v>#N/A</v>
      </c>
      <c r="M7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4">
        <f>_xlfn.RANK.EQ(Table2[[#This Row],[Final Score (w/dropped)]],Table2[Final Score (w/dropped)],1)</f>
        <v>26</v>
      </c>
      <c r="Q74">
        <f>COUNTIF(Table2[[#This Row],[Col 1.1 Score]:[Col 2.3 Score]], "&gt;400")</f>
        <v>0</v>
      </c>
    </row>
    <row r="75" spans="7:17" x14ac:dyDescent="0.45">
      <c r="G75" s="1"/>
      <c r="H75" t="e">
        <f>IF(INDEX(FinalScore, MATCH(Table2[[#This Row],[Pick Column 1.1]],GolferName,0)) = "CUT", 999, INT(INDEX(FinalScore, MATCH(Table2[[#This Row],[Pick Column 1.1]],GolferName,0))))</f>
        <v>#N/A</v>
      </c>
      <c r="I75" t="e">
        <f>IF(INDEX(FinalScore, MATCH(Table2[[#This Row],[Pick Column 1.2]],GolferName,0)) = "CUT", 999, INT(INDEX(FinalScore, MATCH(Table2[[#This Row],[Pick Column 1.2]],GolferName,0))))</f>
        <v>#N/A</v>
      </c>
      <c r="J75" t="e">
        <f>IF(INDEX(FinalScore, MATCH(Table2[[#This Row],[Pick Column 2.1]],GolferName,0)) = "CUT", 999, INT(INDEX(FinalScore, MATCH(Table2[[#This Row],[Pick Column 2.1]],GolferName,0))))</f>
        <v>#N/A</v>
      </c>
      <c r="K75" t="e">
        <f>IF(INDEX(FinalScore, MATCH(Table2[[#This Row],[Pick Column 2.2]],GolferName,0)) = "CUT", 999, INT(INDEX(FinalScore, MATCH(Table2[[#This Row],[Pick Column 2.2]],GolferName,0))))</f>
        <v>#N/A</v>
      </c>
      <c r="L75" s="1" t="e">
        <f>IF(INDEX(FinalScore, MATCH(Table2[[#This Row],[Pick Column 2.3]],GolferName,0)) = "CUT", 999, INT(INDEX(FinalScore, MATCH(Table2[[#This Row],[Pick Column 2.3]],GolferName,0))))</f>
        <v>#N/A</v>
      </c>
      <c r="M7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5">
        <f>_xlfn.RANK.EQ(Table2[[#This Row],[Final Score (w/dropped)]],Table2[Final Score (w/dropped)],1)</f>
        <v>26</v>
      </c>
      <c r="Q75">
        <f>COUNTIF(Table2[[#This Row],[Col 1.1 Score]:[Col 2.3 Score]], "&gt;400")</f>
        <v>0</v>
      </c>
    </row>
    <row r="76" spans="7:17" x14ac:dyDescent="0.45">
      <c r="G76" s="1"/>
      <c r="H76" t="e">
        <f>IF(INDEX(FinalScore, MATCH(Table2[[#This Row],[Pick Column 1.1]],GolferName,0)) = "CUT", 999, INT(INDEX(FinalScore, MATCH(Table2[[#This Row],[Pick Column 1.1]],GolferName,0))))</f>
        <v>#N/A</v>
      </c>
      <c r="I76" t="e">
        <f>IF(INDEX(FinalScore, MATCH(Table2[[#This Row],[Pick Column 1.2]],GolferName,0)) = "CUT", 999, INT(INDEX(FinalScore, MATCH(Table2[[#This Row],[Pick Column 1.2]],GolferName,0))))</f>
        <v>#N/A</v>
      </c>
      <c r="J76" t="e">
        <f>IF(INDEX(FinalScore, MATCH(Table2[[#This Row],[Pick Column 2.1]],GolferName,0)) = "CUT", 999, INT(INDEX(FinalScore, MATCH(Table2[[#This Row],[Pick Column 2.1]],GolferName,0))))</f>
        <v>#N/A</v>
      </c>
      <c r="K76" t="e">
        <f>IF(INDEX(FinalScore, MATCH(Table2[[#This Row],[Pick Column 2.2]],GolferName,0)) = "CUT", 999, INT(INDEX(FinalScore, MATCH(Table2[[#This Row],[Pick Column 2.2]],GolferName,0))))</f>
        <v>#N/A</v>
      </c>
      <c r="L76" s="1" t="e">
        <f>IF(INDEX(FinalScore, MATCH(Table2[[#This Row],[Pick Column 2.3]],GolferName,0)) = "CUT", 999, INT(INDEX(FinalScore, MATCH(Table2[[#This Row],[Pick Column 2.3]],GolferName,0))))</f>
        <v>#N/A</v>
      </c>
      <c r="M7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6">
        <f>_xlfn.RANK.EQ(Table2[[#This Row],[Final Score (w/dropped)]],Table2[Final Score (w/dropped)],1)</f>
        <v>26</v>
      </c>
      <c r="Q76">
        <f>COUNTIF(Table2[[#This Row],[Col 1.1 Score]:[Col 2.3 Score]], "&gt;400")</f>
        <v>0</v>
      </c>
    </row>
    <row r="77" spans="7:17" x14ac:dyDescent="0.45">
      <c r="G77" s="1"/>
      <c r="H77" t="e">
        <f>IF(INDEX(FinalScore, MATCH(Table2[[#This Row],[Pick Column 1.1]],GolferName,0)) = "CUT", 999, INT(INDEX(FinalScore, MATCH(Table2[[#This Row],[Pick Column 1.1]],GolferName,0))))</f>
        <v>#N/A</v>
      </c>
      <c r="I77" t="e">
        <f>IF(INDEX(FinalScore, MATCH(Table2[[#This Row],[Pick Column 1.2]],GolferName,0)) = "CUT", 999, INT(INDEX(FinalScore, MATCH(Table2[[#This Row],[Pick Column 1.2]],GolferName,0))))</f>
        <v>#N/A</v>
      </c>
      <c r="J77" t="e">
        <f>IF(INDEX(FinalScore, MATCH(Table2[[#This Row],[Pick Column 2.1]],GolferName,0)) = "CUT", 999, INT(INDEX(FinalScore, MATCH(Table2[[#This Row],[Pick Column 2.1]],GolferName,0))))</f>
        <v>#N/A</v>
      </c>
      <c r="K77" t="e">
        <f>IF(INDEX(FinalScore, MATCH(Table2[[#This Row],[Pick Column 2.2]],GolferName,0)) = "CUT", 999, INT(INDEX(FinalScore, MATCH(Table2[[#This Row],[Pick Column 2.2]],GolferName,0))))</f>
        <v>#N/A</v>
      </c>
      <c r="L77" s="1" t="e">
        <f>IF(INDEX(FinalScore, MATCH(Table2[[#This Row],[Pick Column 2.3]],GolferName,0)) = "CUT", 999, INT(INDEX(FinalScore, MATCH(Table2[[#This Row],[Pick Column 2.3]],GolferName,0))))</f>
        <v>#N/A</v>
      </c>
      <c r="M7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7">
        <f>_xlfn.RANK.EQ(Table2[[#This Row],[Final Score (w/dropped)]],Table2[Final Score (w/dropped)],1)</f>
        <v>26</v>
      </c>
      <c r="Q77">
        <f>COUNTIF(Table2[[#This Row],[Col 1.1 Score]:[Col 2.3 Score]], "&gt;400")</f>
        <v>0</v>
      </c>
    </row>
    <row r="78" spans="7:17" x14ac:dyDescent="0.45">
      <c r="G78" s="1"/>
      <c r="H78" t="e">
        <f>IF(INDEX(FinalScore, MATCH(Table2[[#This Row],[Pick Column 1.1]],GolferName,0)) = "CUT", 999, INT(INDEX(FinalScore, MATCH(Table2[[#This Row],[Pick Column 1.1]],GolferName,0))))</f>
        <v>#N/A</v>
      </c>
      <c r="I78" t="e">
        <f>IF(INDEX(FinalScore, MATCH(Table2[[#This Row],[Pick Column 1.2]],GolferName,0)) = "CUT", 999, INT(INDEX(FinalScore, MATCH(Table2[[#This Row],[Pick Column 1.2]],GolferName,0))))</f>
        <v>#N/A</v>
      </c>
      <c r="J78" t="e">
        <f>IF(INDEX(FinalScore, MATCH(Table2[[#This Row],[Pick Column 2.1]],GolferName,0)) = "CUT", 999, INT(INDEX(FinalScore, MATCH(Table2[[#This Row],[Pick Column 2.1]],GolferName,0))))</f>
        <v>#N/A</v>
      </c>
      <c r="K78" t="e">
        <f>IF(INDEX(FinalScore, MATCH(Table2[[#This Row],[Pick Column 2.2]],GolferName,0)) = "CUT", 999, INT(INDEX(FinalScore, MATCH(Table2[[#This Row],[Pick Column 2.2]],GolferName,0))))</f>
        <v>#N/A</v>
      </c>
      <c r="L78" s="1" t="e">
        <f>IF(INDEX(FinalScore, MATCH(Table2[[#This Row],[Pick Column 2.3]],GolferName,0)) = "CUT", 999, INT(INDEX(FinalScore, MATCH(Table2[[#This Row],[Pick Column 2.3]],GolferName,0))))</f>
        <v>#N/A</v>
      </c>
      <c r="M7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8">
        <f>_xlfn.RANK.EQ(Table2[[#This Row],[Final Score (w/dropped)]],Table2[Final Score (w/dropped)],1)</f>
        <v>26</v>
      </c>
      <c r="Q78">
        <f>COUNTIF(Table2[[#This Row],[Col 1.1 Score]:[Col 2.3 Score]], "&gt;400")</f>
        <v>0</v>
      </c>
    </row>
    <row r="79" spans="7:17" x14ac:dyDescent="0.45">
      <c r="G79" s="1"/>
      <c r="H79" t="e">
        <f>IF(INDEX(FinalScore, MATCH(Table2[[#This Row],[Pick Column 1.1]],GolferName,0)) = "CUT", 999, INT(INDEX(FinalScore, MATCH(Table2[[#This Row],[Pick Column 1.1]],GolferName,0))))</f>
        <v>#N/A</v>
      </c>
      <c r="I79" t="e">
        <f>IF(INDEX(FinalScore, MATCH(Table2[[#This Row],[Pick Column 1.2]],GolferName,0)) = "CUT", 999, INT(INDEX(FinalScore, MATCH(Table2[[#This Row],[Pick Column 1.2]],GolferName,0))))</f>
        <v>#N/A</v>
      </c>
      <c r="J79" t="e">
        <f>IF(INDEX(FinalScore, MATCH(Table2[[#This Row],[Pick Column 2.1]],GolferName,0)) = "CUT", 999, INT(INDEX(FinalScore, MATCH(Table2[[#This Row],[Pick Column 2.1]],GolferName,0))))</f>
        <v>#N/A</v>
      </c>
      <c r="K79" t="e">
        <f>IF(INDEX(FinalScore, MATCH(Table2[[#This Row],[Pick Column 2.2]],GolferName,0)) = "CUT", 999, INT(INDEX(FinalScore, MATCH(Table2[[#This Row],[Pick Column 2.2]],GolferName,0))))</f>
        <v>#N/A</v>
      </c>
      <c r="L79" s="1" t="e">
        <f>IF(INDEX(FinalScore, MATCH(Table2[[#This Row],[Pick Column 2.3]],GolferName,0)) = "CUT", 999, INT(INDEX(FinalScore, MATCH(Table2[[#This Row],[Pick Column 2.3]],GolferName,0))))</f>
        <v>#N/A</v>
      </c>
      <c r="M7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79">
        <f>_xlfn.RANK.EQ(Table2[[#This Row],[Final Score (w/dropped)]],Table2[Final Score (w/dropped)],1)</f>
        <v>26</v>
      </c>
      <c r="Q79">
        <f>COUNTIF(Table2[[#This Row],[Col 1.1 Score]:[Col 2.3 Score]], "&gt;400")</f>
        <v>0</v>
      </c>
    </row>
    <row r="80" spans="7:17" x14ac:dyDescent="0.45">
      <c r="G80" s="1"/>
      <c r="H80" t="e">
        <f>IF(INDEX(FinalScore, MATCH(Table2[[#This Row],[Pick Column 1.1]],GolferName,0)) = "CUT", 999, INT(INDEX(FinalScore, MATCH(Table2[[#This Row],[Pick Column 1.1]],GolferName,0))))</f>
        <v>#N/A</v>
      </c>
      <c r="I80" t="e">
        <f>IF(INDEX(FinalScore, MATCH(Table2[[#This Row],[Pick Column 1.2]],GolferName,0)) = "CUT", 999, INT(INDEX(FinalScore, MATCH(Table2[[#This Row],[Pick Column 1.2]],GolferName,0))))</f>
        <v>#N/A</v>
      </c>
      <c r="J80" t="e">
        <f>IF(INDEX(FinalScore, MATCH(Table2[[#This Row],[Pick Column 2.1]],GolferName,0)) = "CUT", 999, INT(INDEX(FinalScore, MATCH(Table2[[#This Row],[Pick Column 2.1]],GolferName,0))))</f>
        <v>#N/A</v>
      </c>
      <c r="K80" t="e">
        <f>IF(INDEX(FinalScore, MATCH(Table2[[#This Row],[Pick Column 2.2]],GolferName,0)) = "CUT", 999, INT(INDEX(FinalScore, MATCH(Table2[[#This Row],[Pick Column 2.2]],GolferName,0))))</f>
        <v>#N/A</v>
      </c>
      <c r="L80" s="1" t="e">
        <f>IF(INDEX(FinalScore, MATCH(Table2[[#This Row],[Pick Column 2.3]],GolferName,0)) = "CUT", 999, INT(INDEX(FinalScore, MATCH(Table2[[#This Row],[Pick Column 2.3]],GolferName,0))))</f>
        <v>#N/A</v>
      </c>
      <c r="M8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0">
        <f>_xlfn.RANK.EQ(Table2[[#This Row],[Final Score (w/dropped)]],Table2[Final Score (w/dropped)],1)</f>
        <v>26</v>
      </c>
      <c r="Q80">
        <f>COUNTIF(Table2[[#This Row],[Col 1.1 Score]:[Col 2.3 Score]], "&gt;400")</f>
        <v>0</v>
      </c>
    </row>
    <row r="81" spans="7:17" x14ac:dyDescent="0.45">
      <c r="G81" s="1"/>
      <c r="H81" t="e">
        <f>IF(INDEX(FinalScore, MATCH(Table2[[#This Row],[Pick Column 1.1]],GolferName,0)) = "CUT", 999, INT(INDEX(FinalScore, MATCH(Table2[[#This Row],[Pick Column 1.1]],GolferName,0))))</f>
        <v>#N/A</v>
      </c>
      <c r="I81" t="e">
        <f>IF(INDEX(FinalScore, MATCH(Table2[[#This Row],[Pick Column 1.2]],GolferName,0)) = "CUT", 999, INT(INDEX(FinalScore, MATCH(Table2[[#This Row],[Pick Column 1.2]],GolferName,0))))</f>
        <v>#N/A</v>
      </c>
      <c r="J81" t="e">
        <f>IF(INDEX(FinalScore, MATCH(Table2[[#This Row],[Pick Column 2.1]],GolferName,0)) = "CUT", 999, INT(INDEX(FinalScore, MATCH(Table2[[#This Row],[Pick Column 2.1]],GolferName,0))))</f>
        <v>#N/A</v>
      </c>
      <c r="K81" t="e">
        <f>IF(INDEX(FinalScore, MATCH(Table2[[#This Row],[Pick Column 2.2]],GolferName,0)) = "CUT", 999, INT(INDEX(FinalScore, MATCH(Table2[[#This Row],[Pick Column 2.2]],GolferName,0))))</f>
        <v>#N/A</v>
      </c>
      <c r="L81" s="1" t="e">
        <f>IF(INDEX(FinalScore, MATCH(Table2[[#This Row],[Pick Column 2.3]],GolferName,0)) = "CUT", 999, INT(INDEX(FinalScore, MATCH(Table2[[#This Row],[Pick Column 2.3]],GolferName,0))))</f>
        <v>#N/A</v>
      </c>
      <c r="M8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1">
        <f>_xlfn.RANK.EQ(Table2[[#This Row],[Final Score (w/dropped)]],Table2[Final Score (w/dropped)],1)</f>
        <v>26</v>
      </c>
      <c r="Q81">
        <f>COUNTIF(Table2[[#This Row],[Col 1.1 Score]:[Col 2.3 Score]], "&gt;400")</f>
        <v>0</v>
      </c>
    </row>
    <row r="82" spans="7:17" x14ac:dyDescent="0.45">
      <c r="G82" s="1"/>
      <c r="H82" t="e">
        <f>IF(INDEX(FinalScore, MATCH(Table2[[#This Row],[Pick Column 1.1]],GolferName,0)) = "CUT", 999, INT(INDEX(FinalScore, MATCH(Table2[[#This Row],[Pick Column 1.1]],GolferName,0))))</f>
        <v>#N/A</v>
      </c>
      <c r="I82" t="e">
        <f>IF(INDEX(FinalScore, MATCH(Table2[[#This Row],[Pick Column 1.2]],GolferName,0)) = "CUT", 999, INT(INDEX(FinalScore, MATCH(Table2[[#This Row],[Pick Column 1.2]],GolferName,0))))</f>
        <v>#N/A</v>
      </c>
      <c r="J82" t="e">
        <f>IF(INDEX(FinalScore, MATCH(Table2[[#This Row],[Pick Column 2.1]],GolferName,0)) = "CUT", 999, INT(INDEX(FinalScore, MATCH(Table2[[#This Row],[Pick Column 2.1]],GolferName,0))))</f>
        <v>#N/A</v>
      </c>
      <c r="K82" t="e">
        <f>IF(INDEX(FinalScore, MATCH(Table2[[#This Row],[Pick Column 2.2]],GolferName,0)) = "CUT", 999, INT(INDEX(FinalScore, MATCH(Table2[[#This Row],[Pick Column 2.2]],GolferName,0))))</f>
        <v>#N/A</v>
      </c>
      <c r="L82" s="1" t="e">
        <f>IF(INDEX(FinalScore, MATCH(Table2[[#This Row],[Pick Column 2.3]],GolferName,0)) = "CUT", 999, INT(INDEX(FinalScore, MATCH(Table2[[#This Row],[Pick Column 2.3]],GolferName,0))))</f>
        <v>#N/A</v>
      </c>
      <c r="M8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2">
        <f>_xlfn.RANK.EQ(Table2[[#This Row],[Final Score (w/dropped)]],Table2[Final Score (w/dropped)],1)</f>
        <v>26</v>
      </c>
      <c r="Q82">
        <f>COUNTIF(Table2[[#This Row],[Col 1.1 Score]:[Col 2.3 Score]], "&gt;400")</f>
        <v>0</v>
      </c>
    </row>
    <row r="83" spans="7:17" x14ac:dyDescent="0.45">
      <c r="G83" s="1"/>
      <c r="H83" t="e">
        <f>IF(INDEX(FinalScore, MATCH(Table2[[#This Row],[Pick Column 1.1]],GolferName,0)) = "CUT", 999, INT(INDEX(FinalScore, MATCH(Table2[[#This Row],[Pick Column 1.1]],GolferName,0))))</f>
        <v>#N/A</v>
      </c>
      <c r="I83" t="e">
        <f>IF(INDEX(FinalScore, MATCH(Table2[[#This Row],[Pick Column 1.2]],GolferName,0)) = "CUT", 999, INT(INDEX(FinalScore, MATCH(Table2[[#This Row],[Pick Column 1.2]],GolferName,0))))</f>
        <v>#N/A</v>
      </c>
      <c r="J83" t="e">
        <f>IF(INDEX(FinalScore, MATCH(Table2[[#This Row],[Pick Column 2.1]],GolferName,0)) = "CUT", 999, INT(INDEX(FinalScore, MATCH(Table2[[#This Row],[Pick Column 2.1]],GolferName,0))))</f>
        <v>#N/A</v>
      </c>
      <c r="K83" t="e">
        <f>IF(INDEX(FinalScore, MATCH(Table2[[#This Row],[Pick Column 2.2]],GolferName,0)) = "CUT", 999, INT(INDEX(FinalScore, MATCH(Table2[[#This Row],[Pick Column 2.2]],GolferName,0))))</f>
        <v>#N/A</v>
      </c>
      <c r="L83" s="1" t="e">
        <f>IF(INDEX(FinalScore, MATCH(Table2[[#This Row],[Pick Column 2.3]],GolferName,0)) = "CUT", 999, INT(INDEX(FinalScore, MATCH(Table2[[#This Row],[Pick Column 2.3]],GolferName,0))))</f>
        <v>#N/A</v>
      </c>
      <c r="M8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3">
        <f>_xlfn.RANK.EQ(Table2[[#This Row],[Final Score (w/dropped)]],Table2[Final Score (w/dropped)],1)</f>
        <v>26</v>
      </c>
      <c r="Q83">
        <f>COUNTIF(Table2[[#This Row],[Col 1.1 Score]:[Col 2.3 Score]], "&gt;400")</f>
        <v>0</v>
      </c>
    </row>
    <row r="84" spans="7:17" x14ac:dyDescent="0.45">
      <c r="G84" s="1"/>
      <c r="H84" t="e">
        <f>IF(INDEX(FinalScore, MATCH(Table2[[#This Row],[Pick Column 1.1]],GolferName,0)) = "CUT", 999, INT(INDEX(FinalScore, MATCH(Table2[[#This Row],[Pick Column 1.1]],GolferName,0))))</f>
        <v>#N/A</v>
      </c>
      <c r="I84" t="e">
        <f>IF(INDEX(FinalScore, MATCH(Table2[[#This Row],[Pick Column 1.2]],GolferName,0)) = "CUT", 999, INT(INDEX(FinalScore, MATCH(Table2[[#This Row],[Pick Column 1.2]],GolferName,0))))</f>
        <v>#N/A</v>
      </c>
      <c r="J84" t="e">
        <f>IF(INDEX(FinalScore, MATCH(Table2[[#This Row],[Pick Column 2.1]],GolferName,0)) = "CUT", 999, INT(INDEX(FinalScore, MATCH(Table2[[#This Row],[Pick Column 2.1]],GolferName,0))))</f>
        <v>#N/A</v>
      </c>
      <c r="K84" t="e">
        <f>IF(INDEX(FinalScore, MATCH(Table2[[#This Row],[Pick Column 2.2]],GolferName,0)) = "CUT", 999, INT(INDEX(FinalScore, MATCH(Table2[[#This Row],[Pick Column 2.2]],GolferName,0))))</f>
        <v>#N/A</v>
      </c>
      <c r="L84" s="1" t="e">
        <f>IF(INDEX(FinalScore, MATCH(Table2[[#This Row],[Pick Column 2.3]],GolferName,0)) = "CUT", 999, INT(INDEX(FinalScore, MATCH(Table2[[#This Row],[Pick Column 2.3]],GolferName,0))))</f>
        <v>#N/A</v>
      </c>
      <c r="M8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4">
        <f>_xlfn.RANK.EQ(Table2[[#This Row],[Final Score (w/dropped)]],Table2[Final Score (w/dropped)],1)</f>
        <v>26</v>
      </c>
      <c r="Q84">
        <f>COUNTIF(Table2[[#This Row],[Col 1.1 Score]:[Col 2.3 Score]], "&gt;400")</f>
        <v>0</v>
      </c>
    </row>
    <row r="85" spans="7:17" x14ac:dyDescent="0.45">
      <c r="G85" s="1"/>
      <c r="H85" t="e">
        <f>IF(INDEX(FinalScore, MATCH(Table2[[#This Row],[Pick Column 1.1]],GolferName,0)) = "CUT", 999, INT(INDEX(FinalScore, MATCH(Table2[[#This Row],[Pick Column 1.1]],GolferName,0))))</f>
        <v>#N/A</v>
      </c>
      <c r="I85" t="e">
        <f>IF(INDEX(FinalScore, MATCH(Table2[[#This Row],[Pick Column 1.2]],GolferName,0)) = "CUT", 999, INT(INDEX(FinalScore, MATCH(Table2[[#This Row],[Pick Column 1.2]],GolferName,0))))</f>
        <v>#N/A</v>
      </c>
      <c r="J85" t="e">
        <f>IF(INDEX(FinalScore, MATCH(Table2[[#This Row],[Pick Column 2.1]],GolferName,0)) = "CUT", 999, INT(INDEX(FinalScore, MATCH(Table2[[#This Row],[Pick Column 2.1]],GolferName,0))))</f>
        <v>#N/A</v>
      </c>
      <c r="K85" t="e">
        <f>IF(INDEX(FinalScore, MATCH(Table2[[#This Row],[Pick Column 2.2]],GolferName,0)) = "CUT", 999, INT(INDEX(FinalScore, MATCH(Table2[[#This Row],[Pick Column 2.2]],GolferName,0))))</f>
        <v>#N/A</v>
      </c>
      <c r="L85" s="1" t="e">
        <f>IF(INDEX(FinalScore, MATCH(Table2[[#This Row],[Pick Column 2.3]],GolferName,0)) = "CUT", 999, INT(INDEX(FinalScore, MATCH(Table2[[#This Row],[Pick Column 2.3]],GolferName,0))))</f>
        <v>#N/A</v>
      </c>
      <c r="M8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5">
        <f>_xlfn.RANK.EQ(Table2[[#This Row],[Final Score (w/dropped)]],Table2[Final Score (w/dropped)],1)</f>
        <v>26</v>
      </c>
      <c r="Q85">
        <f>COUNTIF(Table2[[#This Row],[Col 1.1 Score]:[Col 2.3 Score]], "&gt;400")</f>
        <v>0</v>
      </c>
    </row>
    <row r="86" spans="7:17" x14ac:dyDescent="0.45">
      <c r="G86" s="1"/>
      <c r="H86" t="e">
        <f>IF(INDEX(FinalScore, MATCH(Table2[[#This Row],[Pick Column 1.1]],GolferName,0)) = "CUT", 999, INT(INDEX(FinalScore, MATCH(Table2[[#This Row],[Pick Column 1.1]],GolferName,0))))</f>
        <v>#N/A</v>
      </c>
      <c r="I86" t="e">
        <f>IF(INDEX(FinalScore, MATCH(Table2[[#This Row],[Pick Column 1.2]],GolferName,0)) = "CUT", 999, INT(INDEX(FinalScore, MATCH(Table2[[#This Row],[Pick Column 1.2]],GolferName,0))))</f>
        <v>#N/A</v>
      </c>
      <c r="J86" t="e">
        <f>IF(INDEX(FinalScore, MATCH(Table2[[#This Row],[Pick Column 2.1]],GolferName,0)) = "CUT", 999, INT(INDEX(FinalScore, MATCH(Table2[[#This Row],[Pick Column 2.1]],GolferName,0))))</f>
        <v>#N/A</v>
      </c>
      <c r="K86" t="e">
        <f>IF(INDEX(FinalScore, MATCH(Table2[[#This Row],[Pick Column 2.2]],GolferName,0)) = "CUT", 999, INT(INDEX(FinalScore, MATCH(Table2[[#This Row],[Pick Column 2.2]],GolferName,0))))</f>
        <v>#N/A</v>
      </c>
      <c r="L86" s="1" t="e">
        <f>IF(INDEX(FinalScore, MATCH(Table2[[#This Row],[Pick Column 2.3]],GolferName,0)) = "CUT", 999, INT(INDEX(FinalScore, MATCH(Table2[[#This Row],[Pick Column 2.3]],GolferName,0))))</f>
        <v>#N/A</v>
      </c>
      <c r="M8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6">
        <f>_xlfn.RANK.EQ(Table2[[#This Row],[Final Score (w/dropped)]],Table2[Final Score (w/dropped)],1)</f>
        <v>26</v>
      </c>
      <c r="Q86">
        <f>COUNTIF(Table2[[#This Row],[Col 1.1 Score]:[Col 2.3 Score]], "&gt;400")</f>
        <v>0</v>
      </c>
    </row>
    <row r="87" spans="7:17" x14ac:dyDescent="0.45">
      <c r="G87" s="1"/>
      <c r="H87" t="e">
        <f>IF(INDEX(FinalScore, MATCH(Table2[[#This Row],[Pick Column 1.1]],GolferName,0)) = "CUT", 999, INT(INDEX(FinalScore, MATCH(Table2[[#This Row],[Pick Column 1.1]],GolferName,0))))</f>
        <v>#N/A</v>
      </c>
      <c r="I87" t="e">
        <f>IF(INDEX(FinalScore, MATCH(Table2[[#This Row],[Pick Column 1.2]],GolferName,0)) = "CUT", 999, INT(INDEX(FinalScore, MATCH(Table2[[#This Row],[Pick Column 1.2]],GolferName,0))))</f>
        <v>#N/A</v>
      </c>
      <c r="J87" t="e">
        <f>IF(INDEX(FinalScore, MATCH(Table2[[#This Row],[Pick Column 2.1]],GolferName,0)) = "CUT", 999, INT(INDEX(FinalScore, MATCH(Table2[[#This Row],[Pick Column 2.1]],GolferName,0))))</f>
        <v>#N/A</v>
      </c>
      <c r="K87" t="e">
        <f>IF(INDEX(FinalScore, MATCH(Table2[[#This Row],[Pick Column 2.2]],GolferName,0)) = "CUT", 999, INT(INDEX(FinalScore, MATCH(Table2[[#This Row],[Pick Column 2.2]],GolferName,0))))</f>
        <v>#N/A</v>
      </c>
      <c r="L87" s="1" t="e">
        <f>IF(INDEX(FinalScore, MATCH(Table2[[#This Row],[Pick Column 2.3]],GolferName,0)) = "CUT", 999, INT(INDEX(FinalScore, MATCH(Table2[[#This Row],[Pick Column 2.3]],GolferName,0))))</f>
        <v>#N/A</v>
      </c>
      <c r="M8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7">
        <f>_xlfn.RANK.EQ(Table2[[#This Row],[Final Score (w/dropped)]],Table2[Final Score (w/dropped)],1)</f>
        <v>26</v>
      </c>
      <c r="Q87">
        <f>COUNTIF(Table2[[#This Row],[Col 1.1 Score]:[Col 2.3 Score]], "&gt;400")</f>
        <v>0</v>
      </c>
    </row>
    <row r="88" spans="7:17" x14ac:dyDescent="0.45">
      <c r="G88" s="1"/>
      <c r="H88" t="e">
        <f>IF(INDEX(FinalScore, MATCH(Table2[[#This Row],[Pick Column 1.1]],GolferName,0)) = "CUT", 999, INT(INDEX(FinalScore, MATCH(Table2[[#This Row],[Pick Column 1.1]],GolferName,0))))</f>
        <v>#N/A</v>
      </c>
      <c r="I88" t="e">
        <f>IF(INDEX(FinalScore, MATCH(Table2[[#This Row],[Pick Column 1.2]],GolferName,0)) = "CUT", 999, INT(INDEX(FinalScore, MATCH(Table2[[#This Row],[Pick Column 1.2]],GolferName,0))))</f>
        <v>#N/A</v>
      </c>
      <c r="J88" t="e">
        <f>IF(INDEX(FinalScore, MATCH(Table2[[#This Row],[Pick Column 2.1]],GolferName,0)) = "CUT", 999, INT(INDEX(FinalScore, MATCH(Table2[[#This Row],[Pick Column 2.1]],GolferName,0))))</f>
        <v>#N/A</v>
      </c>
      <c r="K88" t="e">
        <f>IF(INDEX(FinalScore, MATCH(Table2[[#This Row],[Pick Column 2.2]],GolferName,0)) = "CUT", 999, INT(INDEX(FinalScore, MATCH(Table2[[#This Row],[Pick Column 2.2]],GolferName,0))))</f>
        <v>#N/A</v>
      </c>
      <c r="L88" s="1" t="e">
        <f>IF(INDEX(FinalScore, MATCH(Table2[[#This Row],[Pick Column 2.3]],GolferName,0)) = "CUT", 999, INT(INDEX(FinalScore, MATCH(Table2[[#This Row],[Pick Column 2.3]],GolferName,0))))</f>
        <v>#N/A</v>
      </c>
      <c r="M8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8">
        <f>_xlfn.RANK.EQ(Table2[[#This Row],[Final Score (w/dropped)]],Table2[Final Score (w/dropped)],1)</f>
        <v>26</v>
      </c>
      <c r="Q88">
        <f>COUNTIF(Table2[[#This Row],[Col 1.1 Score]:[Col 2.3 Score]], "&gt;400")</f>
        <v>0</v>
      </c>
    </row>
    <row r="89" spans="7:17" x14ac:dyDescent="0.45">
      <c r="G89" s="1"/>
      <c r="H89" t="e">
        <f>IF(INDEX(FinalScore, MATCH(Table2[[#This Row],[Pick Column 1.1]],GolferName,0)) = "CUT", 999, INT(INDEX(FinalScore, MATCH(Table2[[#This Row],[Pick Column 1.1]],GolferName,0))))</f>
        <v>#N/A</v>
      </c>
      <c r="I89" t="e">
        <f>IF(INDEX(FinalScore, MATCH(Table2[[#This Row],[Pick Column 1.2]],GolferName,0)) = "CUT", 999, INT(INDEX(FinalScore, MATCH(Table2[[#This Row],[Pick Column 1.2]],GolferName,0))))</f>
        <v>#N/A</v>
      </c>
      <c r="J89" t="e">
        <f>IF(INDEX(FinalScore, MATCH(Table2[[#This Row],[Pick Column 2.1]],GolferName,0)) = "CUT", 999, INT(INDEX(FinalScore, MATCH(Table2[[#This Row],[Pick Column 2.1]],GolferName,0))))</f>
        <v>#N/A</v>
      </c>
      <c r="K89" t="e">
        <f>IF(INDEX(FinalScore, MATCH(Table2[[#This Row],[Pick Column 2.2]],GolferName,0)) = "CUT", 999, INT(INDEX(FinalScore, MATCH(Table2[[#This Row],[Pick Column 2.2]],GolferName,0))))</f>
        <v>#N/A</v>
      </c>
      <c r="L89" s="1" t="e">
        <f>IF(INDEX(FinalScore, MATCH(Table2[[#This Row],[Pick Column 2.3]],GolferName,0)) = "CUT", 999, INT(INDEX(FinalScore, MATCH(Table2[[#This Row],[Pick Column 2.3]],GolferName,0))))</f>
        <v>#N/A</v>
      </c>
      <c r="M8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89">
        <f>_xlfn.RANK.EQ(Table2[[#This Row],[Final Score (w/dropped)]],Table2[Final Score (w/dropped)],1)</f>
        <v>26</v>
      </c>
      <c r="Q89">
        <f>COUNTIF(Table2[[#This Row],[Col 1.1 Score]:[Col 2.3 Score]], "&gt;400")</f>
        <v>0</v>
      </c>
    </row>
    <row r="90" spans="7:17" x14ac:dyDescent="0.45">
      <c r="G90" s="1"/>
      <c r="H90" t="e">
        <f>IF(INDEX(FinalScore, MATCH(Table2[[#This Row],[Pick Column 1.1]],GolferName,0)) = "CUT", 999, INT(INDEX(FinalScore, MATCH(Table2[[#This Row],[Pick Column 1.1]],GolferName,0))))</f>
        <v>#N/A</v>
      </c>
      <c r="I90" t="e">
        <f>IF(INDEX(FinalScore, MATCH(Table2[[#This Row],[Pick Column 1.2]],GolferName,0)) = "CUT", 999, INT(INDEX(FinalScore, MATCH(Table2[[#This Row],[Pick Column 1.2]],GolferName,0))))</f>
        <v>#N/A</v>
      </c>
      <c r="J90" t="e">
        <f>IF(INDEX(FinalScore, MATCH(Table2[[#This Row],[Pick Column 2.1]],GolferName,0)) = "CUT", 999, INT(INDEX(FinalScore, MATCH(Table2[[#This Row],[Pick Column 2.1]],GolferName,0))))</f>
        <v>#N/A</v>
      </c>
      <c r="K90" t="e">
        <f>IF(INDEX(FinalScore, MATCH(Table2[[#This Row],[Pick Column 2.2]],GolferName,0)) = "CUT", 999, INT(INDEX(FinalScore, MATCH(Table2[[#This Row],[Pick Column 2.2]],GolferName,0))))</f>
        <v>#N/A</v>
      </c>
      <c r="L90" s="1" t="e">
        <f>IF(INDEX(FinalScore, MATCH(Table2[[#This Row],[Pick Column 2.3]],GolferName,0)) = "CUT", 999, INT(INDEX(FinalScore, MATCH(Table2[[#This Row],[Pick Column 2.3]],GolferName,0))))</f>
        <v>#N/A</v>
      </c>
      <c r="M9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0">
        <f>_xlfn.RANK.EQ(Table2[[#This Row],[Final Score (w/dropped)]],Table2[Final Score (w/dropped)],1)</f>
        <v>26</v>
      </c>
      <c r="Q90">
        <f>COUNTIF(Table2[[#This Row],[Col 1.1 Score]:[Col 2.3 Score]], "&gt;400")</f>
        <v>0</v>
      </c>
    </row>
    <row r="91" spans="7:17" x14ac:dyDescent="0.45">
      <c r="G91" s="1"/>
      <c r="H91" t="e">
        <f>IF(INDEX(FinalScore, MATCH(Table2[[#This Row],[Pick Column 1.1]],GolferName,0)) = "CUT", 999, INT(INDEX(FinalScore, MATCH(Table2[[#This Row],[Pick Column 1.1]],GolferName,0))))</f>
        <v>#N/A</v>
      </c>
      <c r="I91" t="e">
        <f>IF(INDEX(FinalScore, MATCH(Table2[[#This Row],[Pick Column 1.2]],GolferName,0)) = "CUT", 999, INT(INDEX(FinalScore, MATCH(Table2[[#This Row],[Pick Column 1.2]],GolferName,0))))</f>
        <v>#N/A</v>
      </c>
      <c r="J91" t="e">
        <f>IF(INDEX(FinalScore, MATCH(Table2[[#This Row],[Pick Column 2.1]],GolferName,0)) = "CUT", 999, INT(INDEX(FinalScore, MATCH(Table2[[#This Row],[Pick Column 2.1]],GolferName,0))))</f>
        <v>#N/A</v>
      </c>
      <c r="K91" t="e">
        <f>IF(INDEX(FinalScore, MATCH(Table2[[#This Row],[Pick Column 2.2]],GolferName,0)) = "CUT", 999, INT(INDEX(FinalScore, MATCH(Table2[[#This Row],[Pick Column 2.2]],GolferName,0))))</f>
        <v>#N/A</v>
      </c>
      <c r="L91" s="1" t="e">
        <f>IF(INDEX(FinalScore, MATCH(Table2[[#This Row],[Pick Column 2.3]],GolferName,0)) = "CUT", 999, INT(INDEX(FinalScore, MATCH(Table2[[#This Row],[Pick Column 2.3]],GolferName,0))))</f>
        <v>#N/A</v>
      </c>
      <c r="M9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1">
        <f>_xlfn.RANK.EQ(Table2[[#This Row],[Final Score (w/dropped)]],Table2[Final Score (w/dropped)],1)</f>
        <v>26</v>
      </c>
      <c r="Q91">
        <f>COUNTIF(Table2[[#This Row],[Col 1.1 Score]:[Col 2.3 Score]], "&gt;400")</f>
        <v>0</v>
      </c>
    </row>
    <row r="92" spans="7:17" x14ac:dyDescent="0.45">
      <c r="G92" s="1"/>
      <c r="H92" t="e">
        <f>IF(INDEX(FinalScore, MATCH(Table2[[#This Row],[Pick Column 1.1]],GolferName,0)) = "CUT", 999, INT(INDEX(FinalScore, MATCH(Table2[[#This Row],[Pick Column 1.1]],GolferName,0))))</f>
        <v>#N/A</v>
      </c>
      <c r="I92" t="e">
        <f>IF(INDEX(FinalScore, MATCH(Table2[[#This Row],[Pick Column 1.2]],GolferName,0)) = "CUT", 999, INT(INDEX(FinalScore, MATCH(Table2[[#This Row],[Pick Column 1.2]],GolferName,0))))</f>
        <v>#N/A</v>
      </c>
      <c r="J92" t="e">
        <f>IF(INDEX(FinalScore, MATCH(Table2[[#This Row],[Pick Column 2.1]],GolferName,0)) = "CUT", 999, INT(INDEX(FinalScore, MATCH(Table2[[#This Row],[Pick Column 2.1]],GolferName,0))))</f>
        <v>#N/A</v>
      </c>
      <c r="K92" t="e">
        <f>IF(INDEX(FinalScore, MATCH(Table2[[#This Row],[Pick Column 2.2]],GolferName,0)) = "CUT", 999, INT(INDEX(FinalScore, MATCH(Table2[[#This Row],[Pick Column 2.2]],GolferName,0))))</f>
        <v>#N/A</v>
      </c>
      <c r="L92" s="1" t="e">
        <f>IF(INDEX(FinalScore, MATCH(Table2[[#This Row],[Pick Column 2.3]],GolferName,0)) = "CUT", 999, INT(INDEX(FinalScore, MATCH(Table2[[#This Row],[Pick Column 2.3]],GolferName,0))))</f>
        <v>#N/A</v>
      </c>
      <c r="M9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2">
        <f>_xlfn.RANK.EQ(Table2[[#This Row],[Final Score (w/dropped)]],Table2[Final Score (w/dropped)],1)</f>
        <v>26</v>
      </c>
      <c r="Q92">
        <f>COUNTIF(Table2[[#This Row],[Col 1.1 Score]:[Col 2.3 Score]], "&gt;400")</f>
        <v>0</v>
      </c>
    </row>
    <row r="93" spans="7:17" x14ac:dyDescent="0.45">
      <c r="G93" s="1"/>
      <c r="H93" t="e">
        <f>IF(INDEX(FinalScore, MATCH(Table2[[#This Row],[Pick Column 1.1]],GolferName,0)) = "CUT", 999, INT(INDEX(FinalScore, MATCH(Table2[[#This Row],[Pick Column 1.1]],GolferName,0))))</f>
        <v>#N/A</v>
      </c>
      <c r="I93" t="e">
        <f>IF(INDEX(FinalScore, MATCH(Table2[[#This Row],[Pick Column 1.2]],GolferName,0)) = "CUT", 999, INT(INDEX(FinalScore, MATCH(Table2[[#This Row],[Pick Column 1.2]],GolferName,0))))</f>
        <v>#N/A</v>
      </c>
      <c r="J93" t="e">
        <f>IF(INDEX(FinalScore, MATCH(Table2[[#This Row],[Pick Column 2.1]],GolferName,0)) = "CUT", 999, INT(INDEX(FinalScore, MATCH(Table2[[#This Row],[Pick Column 2.1]],GolferName,0))))</f>
        <v>#N/A</v>
      </c>
      <c r="K93" t="e">
        <f>IF(INDEX(FinalScore, MATCH(Table2[[#This Row],[Pick Column 2.2]],GolferName,0)) = "CUT", 999, INT(INDEX(FinalScore, MATCH(Table2[[#This Row],[Pick Column 2.2]],GolferName,0))))</f>
        <v>#N/A</v>
      </c>
      <c r="L93" s="1" t="e">
        <f>IF(INDEX(FinalScore, MATCH(Table2[[#This Row],[Pick Column 2.3]],GolferName,0)) = "CUT", 999, INT(INDEX(FinalScore, MATCH(Table2[[#This Row],[Pick Column 2.3]],GolferName,0))))</f>
        <v>#N/A</v>
      </c>
      <c r="M93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3">
        <f>_xlfn.RANK.EQ(Table2[[#This Row],[Final Score (w/dropped)]],Table2[Final Score (w/dropped)],1)</f>
        <v>26</v>
      </c>
      <c r="Q93">
        <f>COUNTIF(Table2[[#This Row],[Col 1.1 Score]:[Col 2.3 Score]], "&gt;400")</f>
        <v>0</v>
      </c>
    </row>
    <row r="94" spans="7:17" x14ac:dyDescent="0.45">
      <c r="G94" s="1"/>
      <c r="H94" t="e">
        <f>IF(INDEX(FinalScore, MATCH(Table2[[#This Row],[Pick Column 1.1]],GolferName,0)) = "CUT", 999, INT(INDEX(FinalScore, MATCH(Table2[[#This Row],[Pick Column 1.1]],GolferName,0))))</f>
        <v>#N/A</v>
      </c>
      <c r="I94" t="e">
        <f>IF(INDEX(FinalScore, MATCH(Table2[[#This Row],[Pick Column 1.2]],GolferName,0)) = "CUT", 999, INT(INDEX(FinalScore, MATCH(Table2[[#This Row],[Pick Column 1.2]],GolferName,0))))</f>
        <v>#N/A</v>
      </c>
      <c r="J94" t="e">
        <f>IF(INDEX(FinalScore, MATCH(Table2[[#This Row],[Pick Column 2.1]],GolferName,0)) = "CUT", 999, INT(INDEX(FinalScore, MATCH(Table2[[#This Row],[Pick Column 2.1]],GolferName,0))))</f>
        <v>#N/A</v>
      </c>
      <c r="K94" t="e">
        <f>IF(INDEX(FinalScore, MATCH(Table2[[#This Row],[Pick Column 2.2]],GolferName,0)) = "CUT", 999, INT(INDEX(FinalScore, MATCH(Table2[[#This Row],[Pick Column 2.2]],GolferName,0))))</f>
        <v>#N/A</v>
      </c>
      <c r="L94" s="1" t="e">
        <f>IF(INDEX(FinalScore, MATCH(Table2[[#This Row],[Pick Column 2.3]],GolferName,0)) = "CUT", 999, INT(INDEX(FinalScore, MATCH(Table2[[#This Row],[Pick Column 2.3]],GolferName,0))))</f>
        <v>#N/A</v>
      </c>
      <c r="M94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4">
        <f>_xlfn.RANK.EQ(Table2[[#This Row],[Final Score (w/dropped)]],Table2[Final Score (w/dropped)],1)</f>
        <v>26</v>
      </c>
      <c r="Q94">
        <f>COUNTIF(Table2[[#This Row],[Col 1.1 Score]:[Col 2.3 Score]], "&gt;400")</f>
        <v>0</v>
      </c>
    </row>
    <row r="95" spans="7:17" x14ac:dyDescent="0.45">
      <c r="G95" s="1"/>
      <c r="H95" t="e">
        <f>IF(INDEX(FinalScore, MATCH(Table2[[#This Row],[Pick Column 1.1]],GolferName,0)) = "CUT", 999, INT(INDEX(FinalScore, MATCH(Table2[[#This Row],[Pick Column 1.1]],GolferName,0))))</f>
        <v>#N/A</v>
      </c>
      <c r="I95" t="e">
        <f>IF(INDEX(FinalScore, MATCH(Table2[[#This Row],[Pick Column 1.2]],GolferName,0)) = "CUT", 999, INT(INDEX(FinalScore, MATCH(Table2[[#This Row],[Pick Column 1.2]],GolferName,0))))</f>
        <v>#N/A</v>
      </c>
      <c r="J95" t="e">
        <f>IF(INDEX(FinalScore, MATCH(Table2[[#This Row],[Pick Column 2.1]],GolferName,0)) = "CUT", 999, INT(INDEX(FinalScore, MATCH(Table2[[#This Row],[Pick Column 2.1]],GolferName,0))))</f>
        <v>#N/A</v>
      </c>
      <c r="K95" t="e">
        <f>IF(INDEX(FinalScore, MATCH(Table2[[#This Row],[Pick Column 2.2]],GolferName,0)) = "CUT", 999, INT(INDEX(FinalScore, MATCH(Table2[[#This Row],[Pick Column 2.2]],GolferName,0))))</f>
        <v>#N/A</v>
      </c>
      <c r="L95" s="1" t="e">
        <f>IF(INDEX(FinalScore, MATCH(Table2[[#This Row],[Pick Column 2.3]],GolferName,0)) = "CUT", 999, INT(INDEX(FinalScore, MATCH(Table2[[#This Row],[Pick Column 2.3]],GolferName,0))))</f>
        <v>#N/A</v>
      </c>
      <c r="M95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5">
        <f>_xlfn.RANK.EQ(Table2[[#This Row],[Final Score (w/dropped)]],Table2[Final Score (w/dropped)],1)</f>
        <v>26</v>
      </c>
      <c r="Q95">
        <f>COUNTIF(Table2[[#This Row],[Col 1.1 Score]:[Col 2.3 Score]], "&gt;400")</f>
        <v>0</v>
      </c>
    </row>
    <row r="96" spans="7:17" x14ac:dyDescent="0.45">
      <c r="G96" s="1"/>
      <c r="H96" t="e">
        <f>IF(INDEX(FinalScore, MATCH(Table2[[#This Row],[Pick Column 1.1]],GolferName,0)) = "CUT", 999, INT(INDEX(FinalScore, MATCH(Table2[[#This Row],[Pick Column 1.1]],GolferName,0))))</f>
        <v>#N/A</v>
      </c>
      <c r="I96" t="e">
        <f>IF(INDEX(FinalScore, MATCH(Table2[[#This Row],[Pick Column 1.2]],GolferName,0)) = "CUT", 999, INT(INDEX(FinalScore, MATCH(Table2[[#This Row],[Pick Column 1.2]],GolferName,0))))</f>
        <v>#N/A</v>
      </c>
      <c r="J96" t="e">
        <f>IF(INDEX(FinalScore, MATCH(Table2[[#This Row],[Pick Column 2.1]],GolferName,0)) = "CUT", 999, INT(INDEX(FinalScore, MATCH(Table2[[#This Row],[Pick Column 2.1]],GolferName,0))))</f>
        <v>#N/A</v>
      </c>
      <c r="K96" t="e">
        <f>IF(INDEX(FinalScore, MATCH(Table2[[#This Row],[Pick Column 2.2]],GolferName,0)) = "CUT", 999, INT(INDEX(FinalScore, MATCH(Table2[[#This Row],[Pick Column 2.2]],GolferName,0))))</f>
        <v>#N/A</v>
      </c>
      <c r="L96" s="1" t="e">
        <f>IF(INDEX(FinalScore, MATCH(Table2[[#This Row],[Pick Column 2.3]],GolferName,0)) = "CUT", 999, INT(INDEX(FinalScore, MATCH(Table2[[#This Row],[Pick Column 2.3]],GolferName,0))))</f>
        <v>#N/A</v>
      </c>
      <c r="M96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6">
        <f>_xlfn.RANK.EQ(Table2[[#This Row],[Final Score (w/dropped)]],Table2[Final Score (w/dropped)],1)</f>
        <v>26</v>
      </c>
      <c r="Q96">
        <f>COUNTIF(Table2[[#This Row],[Col 1.1 Score]:[Col 2.3 Score]], "&gt;400")</f>
        <v>0</v>
      </c>
    </row>
    <row r="97" spans="7:17" x14ac:dyDescent="0.45">
      <c r="G97" s="1"/>
      <c r="H97" t="e">
        <f>IF(INDEX(FinalScore, MATCH(Table2[[#This Row],[Pick Column 1.1]],GolferName,0)) = "CUT", 999, INT(INDEX(FinalScore, MATCH(Table2[[#This Row],[Pick Column 1.1]],GolferName,0))))</f>
        <v>#N/A</v>
      </c>
      <c r="I97" t="e">
        <f>IF(INDEX(FinalScore, MATCH(Table2[[#This Row],[Pick Column 1.2]],GolferName,0)) = "CUT", 999, INT(INDEX(FinalScore, MATCH(Table2[[#This Row],[Pick Column 1.2]],GolferName,0))))</f>
        <v>#N/A</v>
      </c>
      <c r="J97" t="e">
        <f>IF(INDEX(FinalScore, MATCH(Table2[[#This Row],[Pick Column 2.1]],GolferName,0)) = "CUT", 999, INT(INDEX(FinalScore, MATCH(Table2[[#This Row],[Pick Column 2.1]],GolferName,0))))</f>
        <v>#N/A</v>
      </c>
      <c r="K97" t="e">
        <f>IF(INDEX(FinalScore, MATCH(Table2[[#This Row],[Pick Column 2.2]],GolferName,0)) = "CUT", 999, INT(INDEX(FinalScore, MATCH(Table2[[#This Row],[Pick Column 2.2]],GolferName,0))))</f>
        <v>#N/A</v>
      </c>
      <c r="L97" s="1" t="e">
        <f>IF(INDEX(FinalScore, MATCH(Table2[[#This Row],[Pick Column 2.3]],GolferName,0)) = "CUT", 999, INT(INDEX(FinalScore, MATCH(Table2[[#This Row],[Pick Column 2.3]],GolferName,0))))</f>
        <v>#N/A</v>
      </c>
      <c r="M97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7">
        <f>_xlfn.RANK.EQ(Table2[[#This Row],[Final Score (w/dropped)]],Table2[Final Score (w/dropped)],1)</f>
        <v>26</v>
      </c>
      <c r="Q97">
        <f>COUNTIF(Table2[[#This Row],[Col 1.1 Score]:[Col 2.3 Score]], "&gt;400")</f>
        <v>0</v>
      </c>
    </row>
    <row r="98" spans="7:17" x14ac:dyDescent="0.45">
      <c r="G98" s="1"/>
      <c r="H98" t="e">
        <f>IF(INDEX(FinalScore, MATCH(Table2[[#This Row],[Pick Column 1.1]],GolferName,0)) = "CUT", 999, INT(INDEX(FinalScore, MATCH(Table2[[#This Row],[Pick Column 1.1]],GolferName,0))))</f>
        <v>#N/A</v>
      </c>
      <c r="I98" t="e">
        <f>IF(INDEX(FinalScore, MATCH(Table2[[#This Row],[Pick Column 1.2]],GolferName,0)) = "CUT", 999, INT(INDEX(FinalScore, MATCH(Table2[[#This Row],[Pick Column 1.2]],GolferName,0))))</f>
        <v>#N/A</v>
      </c>
      <c r="J98" t="e">
        <f>IF(INDEX(FinalScore, MATCH(Table2[[#This Row],[Pick Column 2.1]],GolferName,0)) = "CUT", 999, INT(INDEX(FinalScore, MATCH(Table2[[#This Row],[Pick Column 2.1]],GolferName,0))))</f>
        <v>#N/A</v>
      </c>
      <c r="K98" t="e">
        <f>IF(INDEX(FinalScore, MATCH(Table2[[#This Row],[Pick Column 2.2]],GolferName,0)) = "CUT", 999, INT(INDEX(FinalScore, MATCH(Table2[[#This Row],[Pick Column 2.2]],GolferName,0))))</f>
        <v>#N/A</v>
      </c>
      <c r="L98" s="1" t="e">
        <f>IF(INDEX(FinalScore, MATCH(Table2[[#This Row],[Pick Column 2.3]],GolferName,0)) = "CUT", 999, INT(INDEX(FinalScore, MATCH(Table2[[#This Row],[Pick Column 2.3]],GolferName,0))))</f>
        <v>#N/A</v>
      </c>
      <c r="M98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8">
        <f>_xlfn.RANK.EQ(Table2[[#This Row],[Final Score (w/dropped)]],Table2[Final Score (w/dropped)],1)</f>
        <v>26</v>
      </c>
      <c r="Q98">
        <f>COUNTIF(Table2[[#This Row],[Col 1.1 Score]:[Col 2.3 Score]], "&gt;400")</f>
        <v>0</v>
      </c>
    </row>
    <row r="99" spans="7:17" x14ac:dyDescent="0.45">
      <c r="G99" s="1"/>
      <c r="H99" t="e">
        <f>IF(INDEX(FinalScore, MATCH(Table2[[#This Row],[Pick Column 1.1]],GolferName,0)) = "CUT", 999, INT(INDEX(FinalScore, MATCH(Table2[[#This Row],[Pick Column 1.1]],GolferName,0))))</f>
        <v>#N/A</v>
      </c>
      <c r="I99" t="e">
        <f>IF(INDEX(FinalScore, MATCH(Table2[[#This Row],[Pick Column 1.2]],GolferName,0)) = "CUT", 999, INT(INDEX(FinalScore, MATCH(Table2[[#This Row],[Pick Column 1.2]],GolferName,0))))</f>
        <v>#N/A</v>
      </c>
      <c r="J99" t="e">
        <f>IF(INDEX(FinalScore, MATCH(Table2[[#This Row],[Pick Column 2.1]],GolferName,0)) = "CUT", 999, INT(INDEX(FinalScore, MATCH(Table2[[#This Row],[Pick Column 2.1]],GolferName,0))))</f>
        <v>#N/A</v>
      </c>
      <c r="K99" t="e">
        <f>IF(INDEX(FinalScore, MATCH(Table2[[#This Row],[Pick Column 2.2]],GolferName,0)) = "CUT", 999, INT(INDEX(FinalScore, MATCH(Table2[[#This Row],[Pick Column 2.2]],GolferName,0))))</f>
        <v>#N/A</v>
      </c>
      <c r="L99" s="1" t="e">
        <f>IF(INDEX(FinalScore, MATCH(Table2[[#This Row],[Pick Column 2.3]],GolferName,0)) = "CUT", 999, INT(INDEX(FinalScore, MATCH(Table2[[#This Row],[Pick Column 2.3]],GolferName,0))))</f>
        <v>#N/A</v>
      </c>
      <c r="M99">
        <f>_xlfn.IFNA(IF(COUNTIF(Table2[[#This Row],[Col 1.1 Score]:[Col 2.3 Score]], 999)&gt;1, 9999, SUM(Table2[[#This Row],[Col 1.1 Score]:[Col 2.3 Score]])-MAX(Table2[[#This Row],[Col 1.1 Score]:[Col 2.3 Score]])),999999)</f>
        <v>999999</v>
      </c>
      <c r="N99">
        <f>_xlfn.RANK.EQ(Table2[[#This Row],[Final Score (w/dropped)]],Table2[Final Score (w/dropped)],1)</f>
        <v>26</v>
      </c>
      <c r="Q99">
        <f>COUNTIF(Table2[[#This Row],[Col 1.1 Score]:[Col 2.3 Score]], "&gt;400")</f>
        <v>0</v>
      </c>
    </row>
    <row r="100" spans="7:17" x14ac:dyDescent="0.45">
      <c r="G100" s="1"/>
      <c r="H100" t="e">
        <f>IF(INDEX(FinalScore, MATCH(Table2[[#This Row],[Pick Column 1.1]],GolferName,0)) = "CUT", 999, INT(INDEX(FinalScore, MATCH(Table2[[#This Row],[Pick Column 1.1]],GolferName,0))))</f>
        <v>#N/A</v>
      </c>
      <c r="I100" t="e">
        <f>IF(INDEX(FinalScore, MATCH(Table2[[#This Row],[Pick Column 1.2]],GolferName,0)) = "CUT", 999, INT(INDEX(FinalScore, MATCH(Table2[[#This Row],[Pick Column 1.2]],GolferName,0))))</f>
        <v>#N/A</v>
      </c>
      <c r="J100" t="e">
        <f>IF(INDEX(FinalScore, MATCH(Table2[[#This Row],[Pick Column 2.1]],GolferName,0)) = "CUT", 999, INT(INDEX(FinalScore, MATCH(Table2[[#This Row],[Pick Column 2.1]],GolferName,0))))</f>
        <v>#N/A</v>
      </c>
      <c r="K100" t="e">
        <f>IF(INDEX(FinalScore, MATCH(Table2[[#This Row],[Pick Column 2.2]],GolferName,0)) = "CUT", 999, INT(INDEX(FinalScore, MATCH(Table2[[#This Row],[Pick Column 2.2]],GolferName,0))))</f>
        <v>#N/A</v>
      </c>
      <c r="L100" s="1" t="e">
        <f>IF(INDEX(FinalScore, MATCH(Table2[[#This Row],[Pick Column 2.3]],GolferName,0)) = "CUT", 999, INT(INDEX(FinalScore, MATCH(Table2[[#This Row],[Pick Column 2.3]],GolferName,0))))</f>
        <v>#N/A</v>
      </c>
      <c r="M100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0">
        <f>_xlfn.RANK.EQ(Table2[[#This Row],[Final Score (w/dropped)]],Table2[Final Score (w/dropped)],1)</f>
        <v>26</v>
      </c>
      <c r="Q100">
        <f>COUNTIF(Table2[[#This Row],[Col 1.1 Score]:[Col 2.3 Score]], "&gt;400")</f>
        <v>0</v>
      </c>
    </row>
    <row r="101" spans="7:17" x14ac:dyDescent="0.45">
      <c r="G101" s="1"/>
      <c r="H101" t="e">
        <f>IF(INDEX(FinalScore, MATCH(Table2[[#This Row],[Pick Column 1.1]],GolferName,0)) = "CUT", 999, INT(INDEX(FinalScore, MATCH(Table2[[#This Row],[Pick Column 1.1]],GolferName,0))))</f>
        <v>#N/A</v>
      </c>
      <c r="I101" t="e">
        <f>IF(INDEX(FinalScore, MATCH(Table2[[#This Row],[Pick Column 1.2]],GolferName,0)) = "CUT", 999, INT(INDEX(FinalScore, MATCH(Table2[[#This Row],[Pick Column 1.2]],GolferName,0))))</f>
        <v>#N/A</v>
      </c>
      <c r="J101" t="e">
        <f>IF(INDEX(FinalScore, MATCH(Table2[[#This Row],[Pick Column 2.1]],GolferName,0)) = "CUT", 999, INT(INDEX(FinalScore, MATCH(Table2[[#This Row],[Pick Column 2.1]],GolferName,0))))</f>
        <v>#N/A</v>
      </c>
      <c r="K101" t="e">
        <f>IF(INDEX(FinalScore, MATCH(Table2[[#This Row],[Pick Column 2.2]],GolferName,0)) = "CUT", 999, INT(INDEX(FinalScore, MATCH(Table2[[#This Row],[Pick Column 2.2]],GolferName,0))))</f>
        <v>#N/A</v>
      </c>
      <c r="L101" s="1" t="e">
        <f>IF(INDEX(FinalScore, MATCH(Table2[[#This Row],[Pick Column 2.3]],GolferName,0)) = "CUT", 999, INT(INDEX(FinalScore, MATCH(Table2[[#This Row],[Pick Column 2.3]],GolferName,0))))</f>
        <v>#N/A</v>
      </c>
      <c r="M101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1">
        <f>_xlfn.RANK.EQ(Table2[[#This Row],[Final Score (w/dropped)]],Table2[Final Score (w/dropped)],1)</f>
        <v>26</v>
      </c>
      <c r="Q101">
        <f>COUNTIF(Table2[[#This Row],[Col 1.1 Score]:[Col 2.3 Score]], "&gt;400")</f>
        <v>0</v>
      </c>
    </row>
    <row r="102" spans="7:17" x14ac:dyDescent="0.45">
      <c r="G102" s="1"/>
      <c r="H102" t="e">
        <f>IF(INDEX(FinalScore, MATCH(Table2[[#This Row],[Pick Column 1.1]],GolferName,0)) = "CUT", 999, INT(INDEX(FinalScore, MATCH(Table2[[#This Row],[Pick Column 1.1]],GolferName,0))))</f>
        <v>#N/A</v>
      </c>
      <c r="I102" t="e">
        <f>IF(INDEX(FinalScore, MATCH(Table2[[#This Row],[Pick Column 1.2]],GolferName,0)) = "CUT", 999, INT(INDEX(FinalScore, MATCH(Table2[[#This Row],[Pick Column 1.2]],GolferName,0))))</f>
        <v>#N/A</v>
      </c>
      <c r="J102" t="e">
        <f>IF(INDEX(FinalScore, MATCH(Table2[[#This Row],[Pick Column 2.1]],GolferName,0)) = "CUT", 999, INT(INDEX(FinalScore, MATCH(Table2[[#This Row],[Pick Column 2.1]],GolferName,0))))</f>
        <v>#N/A</v>
      </c>
      <c r="K102" t="e">
        <f>IF(INDEX(FinalScore, MATCH(Table2[[#This Row],[Pick Column 2.2]],GolferName,0)) = "CUT", 999, INT(INDEX(FinalScore, MATCH(Table2[[#This Row],[Pick Column 2.2]],GolferName,0))))</f>
        <v>#N/A</v>
      </c>
      <c r="L102" s="1" t="e">
        <f>IF(INDEX(FinalScore, MATCH(Table2[[#This Row],[Pick Column 2.3]],GolferName,0)) = "CUT", 999, INT(INDEX(FinalScore, MATCH(Table2[[#This Row],[Pick Column 2.3]],GolferName,0))))</f>
        <v>#N/A</v>
      </c>
      <c r="M102">
        <f>_xlfn.IFNA(IF(COUNTIF(Table2[[#This Row],[Col 1.1 Score]:[Col 2.3 Score]], 999)&gt;1, 9999, SUM(Table2[[#This Row],[Col 1.1 Score]:[Col 2.3 Score]])-MAX(Table2[[#This Row],[Col 1.1 Score]:[Col 2.3 Score]])),999999)</f>
        <v>999999</v>
      </c>
      <c r="N102">
        <f>_xlfn.RANK.EQ(Table2[[#This Row],[Final Score (w/dropped)]],Table2[Final Score (w/dropped)],1)</f>
        <v>26</v>
      </c>
      <c r="Q102">
        <f>COUNTIF(Table2[[#This Row],[Col 1.1 Score]:[Col 2.3 Score]], "&gt;400")</f>
        <v>0</v>
      </c>
    </row>
  </sheetData>
  <mergeCells count="1">
    <mergeCell ref="H1:N1"/>
  </mergeCells>
  <conditionalFormatting sqref="H1:L1048576">
    <cfRule type="cellIs" dxfId="36" priority="4" operator="equal">
      <formula>999</formula>
    </cfRule>
  </conditionalFormatting>
  <conditionalFormatting sqref="C1:G1048576">
    <cfRule type="expression" dxfId="35" priority="3">
      <formula>H1=999</formula>
    </cfRule>
  </conditionalFormatting>
  <conditionalFormatting sqref="A1:A1048576">
    <cfRule type="expression" dxfId="34" priority="2">
      <formula>P1="OUT"</formula>
    </cfRule>
  </conditionalFormatting>
  <conditionalFormatting sqref="C3:G102">
    <cfRule type="expression" dxfId="33" priority="1">
      <formula>AND(C3&lt;&gt;"", ISNA(H3))</formula>
    </cfRule>
  </conditionalFormatting>
  <dataValidations count="1">
    <dataValidation type="list" allowBlank="1" sqref="E3:G102" xr:uid="{C4E751E4-5B69-48D9-BEF5-D918A50E78D6}">
      <formula1>Col24Combined</formula1>
    </dataValidation>
  </dataValidations>
  <pageMargins left="0.25" right="0.25" top="0.75" bottom="0.75" header="0.3" footer="0.3"/>
  <pageSetup scale="33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124B77EC-1C05-4CB2-9DA0-891A389DB544}">
          <x14:formula1>
            <xm:f>'Golfer Name Sheet'!$A$2:$A$22</xm:f>
          </x14:formula1>
          <xm:sqref>C3:D102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/>
  </sheetPr>
  <dimension ref="A1:BJ159"/>
  <sheetViews>
    <sheetView tabSelected="1" zoomScale="85" zoomScaleNormal="85" workbookViewId="0">
      <selection activeCell="K2" sqref="K2"/>
    </sheetView>
  </sheetViews>
  <sheetFormatPr defaultRowHeight="14.25" x14ac:dyDescent="0.45"/>
  <cols>
    <col min="1" max="1" width="7.46484375" bestFit="1" customWidth="1"/>
    <col min="2" max="2" width="20.46484375" bestFit="1" customWidth="1"/>
    <col min="3" max="6" width="10.1328125" bestFit="1" customWidth="1"/>
    <col min="7" max="7" width="8.33203125" bestFit="1" customWidth="1"/>
    <col min="8" max="8" width="7.1328125" bestFit="1" customWidth="1"/>
    <col min="9" max="10" width="10.59765625" bestFit="1" customWidth="1"/>
    <col min="11" max="11" width="20.46484375" bestFit="1" customWidth="1"/>
    <col min="12" max="12" width="7.9296875" bestFit="1" customWidth="1"/>
    <col min="13" max="13" width="6.19921875" bestFit="1" customWidth="1"/>
    <col min="14" max="14" width="5.06640625" bestFit="1" customWidth="1"/>
    <col min="15" max="15" width="10.86328125" bestFit="1" customWidth="1"/>
    <col min="16" max="16" width="4.46484375" bestFit="1" customWidth="1"/>
    <col min="17" max="18" width="10.59765625" bestFit="1" customWidth="1"/>
    <col min="19" max="19" width="13.796875" bestFit="1" customWidth="1"/>
    <col min="20" max="20" width="12.1328125" bestFit="1" customWidth="1"/>
    <col min="21" max="21" width="6.19921875" bestFit="1" customWidth="1"/>
    <col min="22" max="22" width="11" bestFit="1" customWidth="1"/>
    <col min="23" max="23" width="9" bestFit="1" customWidth="1"/>
    <col min="24" max="24" width="7.6640625" bestFit="1" customWidth="1"/>
    <col min="25" max="26" width="11.33203125" bestFit="1" customWidth="1"/>
    <col min="27" max="27" width="21.796875" bestFit="1" customWidth="1"/>
    <col min="28" max="28" width="13.19921875" bestFit="1" customWidth="1"/>
    <col min="29" max="29" width="6.53125" bestFit="1" customWidth="1"/>
    <col min="30" max="34" width="15.46484375" bestFit="1" customWidth="1"/>
    <col min="35" max="35" width="11.33203125" bestFit="1" customWidth="1"/>
    <col min="36" max="36" width="14.796875" bestFit="1" customWidth="1"/>
    <col min="37" max="37" width="13.19921875" bestFit="1" customWidth="1"/>
    <col min="38" max="38" width="6.53125" bestFit="1" customWidth="1"/>
    <col min="39" max="40" width="10.1328125" bestFit="1" customWidth="1"/>
    <col min="41" max="41" width="7.53125" bestFit="1" customWidth="1"/>
    <col min="42" max="42" width="80.53125" bestFit="1" customWidth="1"/>
    <col min="43" max="44" width="10.53125" bestFit="1" customWidth="1"/>
    <col min="45" max="45" width="13.796875" bestFit="1" customWidth="1"/>
    <col min="46" max="46" width="7.86328125" bestFit="1" customWidth="1"/>
    <col min="47" max="47" width="6.19921875" bestFit="1" customWidth="1"/>
    <col min="48" max="48" width="8.6640625" bestFit="1" customWidth="1"/>
    <col min="49" max="52" width="5.53125" bestFit="1" customWidth="1"/>
    <col min="53" max="53" width="6.6640625" bestFit="1" customWidth="1"/>
    <col min="54" max="54" width="10.53125" bestFit="1" customWidth="1"/>
    <col min="55" max="55" width="17.53125" bestFit="1" customWidth="1"/>
    <col min="56" max="56" width="12.1328125" bestFit="1" customWidth="1"/>
    <col min="57" max="57" width="6.33203125" bestFit="1" customWidth="1"/>
    <col min="58" max="59" width="6.1328125" bestFit="1" customWidth="1"/>
    <col min="60" max="60" width="12.1328125" bestFit="1" customWidth="1"/>
    <col min="61" max="61" width="6.1328125" bestFit="1" customWidth="1"/>
    <col min="62" max="62" width="11" style="1" bestFit="1" customWidth="1"/>
    <col min="63" max="63" width="20.33203125" bestFit="1" customWidth="1"/>
    <col min="64" max="64" width="12.33203125" bestFit="1" customWidth="1"/>
    <col min="65" max="65" width="6.1328125" bestFit="1" customWidth="1"/>
  </cols>
  <sheetData>
    <row r="1" spans="1:62" ht="28.5" x14ac:dyDescent="0.45">
      <c r="A1" t="s">
        <v>18</v>
      </c>
      <c r="B1" t="s">
        <v>1</v>
      </c>
      <c r="C1" t="s">
        <v>439</v>
      </c>
      <c r="D1" t="s">
        <v>440</v>
      </c>
      <c r="E1" t="s">
        <v>441</v>
      </c>
      <c r="F1" t="s">
        <v>442</v>
      </c>
      <c r="G1" t="s">
        <v>443</v>
      </c>
      <c r="H1" t="s">
        <v>444</v>
      </c>
      <c r="I1" t="s">
        <v>445</v>
      </c>
      <c r="J1" t="s">
        <v>4</v>
      </c>
      <c r="K1" s="9" t="s">
        <v>17</v>
      </c>
      <c r="L1" s="10" t="s">
        <v>30</v>
      </c>
      <c r="M1" t="s">
        <v>31</v>
      </c>
      <c r="Q1" s="57"/>
      <c r="R1" s="57"/>
      <c r="S1" s="57"/>
      <c r="T1" s="57"/>
      <c r="BJ1"/>
    </row>
    <row r="2" spans="1:62" x14ac:dyDescent="0.45">
      <c r="A2" t="s">
        <v>2</v>
      </c>
      <c r="B2" t="s">
        <v>3</v>
      </c>
      <c r="C2" t="s">
        <v>79</v>
      </c>
      <c r="D2" t="s">
        <v>79</v>
      </c>
      <c r="E2" t="s">
        <v>78</v>
      </c>
      <c r="F2" t="s">
        <v>78</v>
      </c>
      <c r="G2" t="s">
        <v>469</v>
      </c>
      <c r="H2" t="s">
        <v>470</v>
      </c>
      <c r="K2" t="str">
        <f>The_Open[[#This Row],[Name]]</f>
        <v>Si Woo Kim</v>
      </c>
      <c r="L2">
        <f>IF(The_Open[[#This Row],[Cut]]="CUT", "CUT", The_Open[[#This Row],[Round 1]]+The_Open[[#This Row],[Round 2]]+The_Open[[#This Row],[Round 3]]+The_Open[[#This Row],[Round 4]])</f>
        <v>262</v>
      </c>
      <c r="M2" t="str">
        <f>IF(The_Open[[#This Row],[Total]]="MC", "CUT", "")</f>
        <v/>
      </c>
      <c r="Q2" s="57"/>
      <c r="R2" t="s">
        <v>227</v>
      </c>
      <c r="S2" s="56" t="s">
        <v>228</v>
      </c>
      <c r="T2" s="57"/>
      <c r="BJ2"/>
    </row>
    <row r="3" spans="1:62" x14ac:dyDescent="0.45">
      <c r="A3" t="s">
        <v>459</v>
      </c>
      <c r="B3" t="s">
        <v>264</v>
      </c>
      <c r="C3" t="s">
        <v>79</v>
      </c>
      <c r="D3" t="s">
        <v>78</v>
      </c>
      <c r="E3" t="s">
        <v>78</v>
      </c>
      <c r="F3" t="s">
        <v>81</v>
      </c>
      <c r="G3" t="s">
        <v>471</v>
      </c>
      <c r="H3" t="s">
        <v>470</v>
      </c>
      <c r="K3" t="str">
        <f>The_Open[[#This Row],[Name]]</f>
        <v>Hayden Buckley</v>
      </c>
      <c r="L3">
        <f>IF(The_Open[[#This Row],[Cut]]="CUT", "CUT", The_Open[[#This Row],[Round 1]]+The_Open[[#This Row],[Round 2]]+The_Open[[#This Row],[Round 3]]+The_Open[[#This Row],[Round 4]])</f>
        <v>263</v>
      </c>
      <c r="M3" t="str">
        <f>IF(The_Open[[#This Row],[Total]]="MC", "CUT", "")</f>
        <v/>
      </c>
      <c r="Q3" s="57"/>
      <c r="R3" t="s">
        <v>466</v>
      </c>
      <c r="S3" s="56" t="s">
        <v>468</v>
      </c>
      <c r="T3" s="57"/>
      <c r="BJ3"/>
    </row>
    <row r="4" spans="1:62" x14ac:dyDescent="0.45">
      <c r="A4" t="s">
        <v>460</v>
      </c>
      <c r="B4" t="s">
        <v>97</v>
      </c>
      <c r="C4" t="s">
        <v>78</v>
      </c>
      <c r="D4" t="s">
        <v>77</v>
      </c>
      <c r="E4" t="s">
        <v>81</v>
      </c>
      <c r="F4" t="s">
        <v>81</v>
      </c>
      <c r="G4" t="s">
        <v>472</v>
      </c>
      <c r="H4" t="s">
        <v>470</v>
      </c>
      <c r="K4" t="str">
        <f>The_Open[[#This Row],[Name]]</f>
        <v>Chris Kirk</v>
      </c>
      <c r="L4">
        <f>IF(The_Open[[#This Row],[Cut]]="CUT", "CUT", The_Open[[#This Row],[Round 1]]+The_Open[[#This Row],[Round 2]]+The_Open[[#This Row],[Round 3]]+The_Open[[#This Row],[Round 4]])</f>
        <v>265</v>
      </c>
      <c r="M4" t="str">
        <f>IF(The_Open[[#This Row],[Total]]="MC", "CUT", "")</f>
        <v/>
      </c>
      <c r="Q4" s="57"/>
      <c r="R4" s="57"/>
      <c r="S4" s="57"/>
      <c r="T4" s="57"/>
      <c r="BJ4"/>
    </row>
    <row r="5" spans="1:62" x14ac:dyDescent="0.45">
      <c r="A5" t="s">
        <v>456</v>
      </c>
      <c r="B5" t="s">
        <v>279</v>
      </c>
      <c r="C5" t="s">
        <v>77</v>
      </c>
      <c r="D5" t="s">
        <v>84</v>
      </c>
      <c r="E5" t="s">
        <v>84</v>
      </c>
      <c r="F5" t="s">
        <v>80</v>
      </c>
      <c r="G5" t="s">
        <v>473</v>
      </c>
      <c r="H5" t="s">
        <v>470</v>
      </c>
      <c r="K5" t="str">
        <f>The_Open[[#This Row],[Name]]</f>
        <v>David Lipsky</v>
      </c>
      <c r="L5">
        <f>IF(The_Open[[#This Row],[Cut]]="CUT", "CUT", The_Open[[#This Row],[Round 1]]+The_Open[[#This Row],[Round 2]]+The_Open[[#This Row],[Round 3]]+The_Open[[#This Row],[Round 4]])</f>
        <v>266</v>
      </c>
      <c r="M5" t="str">
        <f>IF(The_Open[[#This Row],[Total]]="MC", "CUT", "")</f>
        <v/>
      </c>
      <c r="O5" s="55" t="s">
        <v>93</v>
      </c>
      <c r="BJ5"/>
    </row>
    <row r="6" spans="1:62" x14ac:dyDescent="0.45">
      <c r="A6" t="s">
        <v>456</v>
      </c>
      <c r="B6" t="s">
        <v>254</v>
      </c>
      <c r="C6" t="s">
        <v>82</v>
      </c>
      <c r="D6" t="s">
        <v>84</v>
      </c>
      <c r="E6" t="s">
        <v>461</v>
      </c>
      <c r="F6" t="s">
        <v>81</v>
      </c>
      <c r="G6" t="s">
        <v>473</v>
      </c>
      <c r="H6" t="s">
        <v>470</v>
      </c>
      <c r="K6" t="str">
        <f>The_Open[[#This Row],[Name]]</f>
        <v>Andrew Putnam</v>
      </c>
      <c r="L6">
        <f>IF(The_Open[[#This Row],[Cut]]="CUT", "CUT", The_Open[[#This Row],[Round 1]]+The_Open[[#This Row],[Round 2]]+The_Open[[#This Row],[Round 3]]+The_Open[[#This Row],[Round 4]])</f>
        <v>266</v>
      </c>
      <c r="M6" t="str">
        <f>IF(The_Open[[#This Row],[Total]]="MC", "CUT", "")</f>
        <v/>
      </c>
      <c r="BJ6"/>
    </row>
    <row r="7" spans="1:62" x14ac:dyDescent="0.45">
      <c r="A7" t="s">
        <v>456</v>
      </c>
      <c r="B7" t="s">
        <v>303</v>
      </c>
      <c r="C7" t="s">
        <v>84</v>
      </c>
      <c r="D7" t="s">
        <v>84</v>
      </c>
      <c r="E7" t="s">
        <v>77</v>
      </c>
      <c r="F7" t="s">
        <v>80</v>
      </c>
      <c r="G7" t="s">
        <v>473</v>
      </c>
      <c r="H7" t="s">
        <v>470</v>
      </c>
      <c r="K7" t="str">
        <f>The_Open[[#This Row],[Name]]</f>
        <v>Ben Taylor</v>
      </c>
      <c r="L7">
        <f>IF(The_Open[[#This Row],[Cut]]="CUT", "CUT", The_Open[[#This Row],[Round 1]]+The_Open[[#This Row],[Round 2]]+The_Open[[#This Row],[Round 3]]+The_Open[[#This Row],[Round 4]])</f>
        <v>266</v>
      </c>
      <c r="M7" t="str">
        <f>IF(The_Open[[#This Row],[Total]]="MC", "CUT", "")</f>
        <v/>
      </c>
      <c r="BJ7"/>
    </row>
    <row r="8" spans="1:62" x14ac:dyDescent="0.45">
      <c r="A8" t="s">
        <v>474</v>
      </c>
      <c r="B8" t="s">
        <v>321</v>
      </c>
      <c r="C8" t="s">
        <v>79</v>
      </c>
      <c r="D8" t="s">
        <v>82</v>
      </c>
      <c r="E8" t="s">
        <v>77</v>
      </c>
      <c r="F8" t="s">
        <v>77</v>
      </c>
      <c r="G8" t="s">
        <v>475</v>
      </c>
      <c r="H8" t="s">
        <v>470</v>
      </c>
      <c r="K8" t="str">
        <f>The_Open[[#This Row],[Name]]</f>
        <v>Aaron Baddeley</v>
      </c>
      <c r="L8">
        <f>IF(The_Open[[#This Row],[Cut]]="CUT", "CUT", The_Open[[#This Row],[Round 1]]+The_Open[[#This Row],[Round 2]]+The_Open[[#This Row],[Round 3]]+The_Open[[#This Row],[Round 4]])</f>
        <v>267</v>
      </c>
      <c r="M8" t="str">
        <f>IF(The_Open[[#This Row],[Total]]="MC", "CUT", "")</f>
        <v/>
      </c>
      <c r="O8" t="s">
        <v>218</v>
      </c>
      <c r="BJ8"/>
    </row>
    <row r="9" spans="1:62" x14ac:dyDescent="0.45">
      <c r="A9" t="s">
        <v>474</v>
      </c>
      <c r="B9" t="s">
        <v>258</v>
      </c>
      <c r="C9" t="s">
        <v>82</v>
      </c>
      <c r="D9" t="s">
        <v>79</v>
      </c>
      <c r="E9" t="s">
        <v>78</v>
      </c>
      <c r="F9" t="s">
        <v>84</v>
      </c>
      <c r="G9" t="s">
        <v>475</v>
      </c>
      <c r="H9" t="s">
        <v>470</v>
      </c>
      <c r="K9" t="str">
        <f>The_Open[[#This Row],[Name]]</f>
        <v>Matt Kuchar</v>
      </c>
      <c r="L9">
        <f>IF(The_Open[[#This Row],[Cut]]="CUT", "CUT", The_Open[[#This Row],[Round 1]]+The_Open[[#This Row],[Round 2]]+The_Open[[#This Row],[Round 3]]+The_Open[[#This Row],[Round 4]])</f>
        <v>267</v>
      </c>
      <c r="M9" t="str">
        <f>IF(The_Open[[#This Row],[Total]]="MC", "CUT", "")</f>
        <v/>
      </c>
      <c r="BJ9"/>
    </row>
    <row r="10" spans="1:62" x14ac:dyDescent="0.45">
      <c r="A10" t="s">
        <v>474</v>
      </c>
      <c r="B10" t="s">
        <v>333</v>
      </c>
      <c r="C10" t="s">
        <v>80</v>
      </c>
      <c r="D10" t="s">
        <v>77</v>
      </c>
      <c r="E10" t="s">
        <v>77</v>
      </c>
      <c r="F10" t="s">
        <v>81</v>
      </c>
      <c r="G10" t="s">
        <v>475</v>
      </c>
      <c r="H10" t="s">
        <v>470</v>
      </c>
      <c r="K10" t="str">
        <f>The_Open[[#This Row],[Name]]</f>
        <v>Nate Lashley</v>
      </c>
      <c r="L10">
        <f>IF(The_Open[[#This Row],[Cut]]="CUT", "CUT", The_Open[[#This Row],[Round 1]]+The_Open[[#This Row],[Round 2]]+The_Open[[#This Row],[Round 3]]+The_Open[[#This Row],[Round 4]])</f>
        <v>267</v>
      </c>
      <c r="M10" t="str">
        <f>IF(The_Open[[#This Row],[Total]]="MC", "CUT", "")</f>
        <v/>
      </c>
      <c r="P10" s="51" t="s">
        <v>243</v>
      </c>
      <c r="BJ10"/>
    </row>
    <row r="11" spans="1:62" x14ac:dyDescent="0.45">
      <c r="A11" t="s">
        <v>474</v>
      </c>
      <c r="B11" t="s">
        <v>98</v>
      </c>
      <c r="C11" t="s">
        <v>84</v>
      </c>
      <c r="D11" t="s">
        <v>79</v>
      </c>
      <c r="E11" t="s">
        <v>79</v>
      </c>
      <c r="F11" t="s">
        <v>79</v>
      </c>
      <c r="G11" t="s">
        <v>475</v>
      </c>
      <c r="H11" t="s">
        <v>470</v>
      </c>
      <c r="K11" t="str">
        <f>The_Open[[#This Row],[Name]]</f>
        <v>Maverick McNealy</v>
      </c>
      <c r="L11">
        <f>IF(The_Open[[#This Row],[Cut]]="CUT", "CUT", The_Open[[#This Row],[Round 1]]+The_Open[[#This Row],[Round 2]]+The_Open[[#This Row],[Round 3]]+The_Open[[#This Row],[Round 4]])</f>
        <v>267</v>
      </c>
      <c r="M11" t="str">
        <f>IF(The_Open[[#This Row],[Total]]="MC", "CUT", "")</f>
        <v/>
      </c>
      <c r="BJ11"/>
    </row>
    <row r="12" spans="1:62" x14ac:dyDescent="0.45">
      <c r="A12" t="s">
        <v>474</v>
      </c>
      <c r="B12" t="s">
        <v>72</v>
      </c>
      <c r="C12" t="s">
        <v>82</v>
      </c>
      <c r="D12" t="s">
        <v>81</v>
      </c>
      <c r="E12" t="s">
        <v>461</v>
      </c>
      <c r="F12" t="s">
        <v>79</v>
      </c>
      <c r="G12" t="s">
        <v>475</v>
      </c>
      <c r="H12" t="s">
        <v>470</v>
      </c>
      <c r="K12" t="str">
        <f>The_Open[[#This Row],[Name]]</f>
        <v>Nick Taylor</v>
      </c>
      <c r="L12">
        <f>IF(The_Open[[#This Row],[Cut]]="CUT", "CUT", The_Open[[#This Row],[Round 1]]+The_Open[[#This Row],[Round 2]]+The_Open[[#This Row],[Round 3]]+The_Open[[#This Row],[Round 4]])</f>
        <v>267</v>
      </c>
      <c r="M12" t="str">
        <f>IF(The_Open[[#This Row],[Total]]="MC", "CUT", "")</f>
        <v/>
      </c>
      <c r="BJ12"/>
    </row>
    <row r="13" spans="1:62" x14ac:dyDescent="0.45">
      <c r="A13" t="s">
        <v>476</v>
      </c>
      <c r="B13" t="s">
        <v>305</v>
      </c>
      <c r="C13" t="s">
        <v>82</v>
      </c>
      <c r="D13" t="s">
        <v>77</v>
      </c>
      <c r="E13" t="s">
        <v>84</v>
      </c>
      <c r="F13" t="s">
        <v>79</v>
      </c>
      <c r="G13" t="s">
        <v>477</v>
      </c>
      <c r="H13" t="s">
        <v>470</v>
      </c>
      <c r="K13" t="str">
        <f>The_Open[[#This Row],[Name]]</f>
        <v>Byeong Hun An</v>
      </c>
      <c r="L13">
        <f>IF(The_Open[[#This Row],[Cut]]="CUT", "CUT", The_Open[[#This Row],[Round 1]]+The_Open[[#This Row],[Round 2]]+The_Open[[#This Row],[Round 3]]+The_Open[[#This Row],[Round 4]])</f>
        <v>268</v>
      </c>
      <c r="M13" t="str">
        <f>IF(The_Open[[#This Row],[Total]]="MC", "CUT", "")</f>
        <v/>
      </c>
      <c r="O13" s="55" t="s">
        <v>458</v>
      </c>
      <c r="BJ13"/>
    </row>
    <row r="14" spans="1:62" x14ac:dyDescent="0.45">
      <c r="A14" t="s">
        <v>476</v>
      </c>
      <c r="B14" t="s">
        <v>219</v>
      </c>
      <c r="C14" t="s">
        <v>80</v>
      </c>
      <c r="D14" t="s">
        <v>84</v>
      </c>
      <c r="E14" t="s">
        <v>81</v>
      </c>
      <c r="F14" t="s">
        <v>77</v>
      </c>
      <c r="G14" t="s">
        <v>477</v>
      </c>
      <c r="H14" t="s">
        <v>470</v>
      </c>
      <c r="K14" t="str">
        <f>The_Open[[#This Row],[Name]]</f>
        <v>Corey Conners</v>
      </c>
      <c r="L14">
        <f>IF(The_Open[[#This Row],[Cut]]="CUT", "CUT", The_Open[[#This Row],[Round 1]]+The_Open[[#This Row],[Round 2]]+The_Open[[#This Row],[Round 3]]+The_Open[[#This Row],[Round 4]])</f>
        <v>268</v>
      </c>
      <c r="M14" t="str">
        <f>IF(The_Open[[#This Row],[Total]]="MC", "CUT", "")</f>
        <v/>
      </c>
      <c r="BJ14"/>
    </row>
    <row r="15" spans="1:62" x14ac:dyDescent="0.45">
      <c r="A15" t="s">
        <v>476</v>
      </c>
      <c r="B15" t="s">
        <v>358</v>
      </c>
      <c r="C15" t="s">
        <v>80</v>
      </c>
      <c r="D15" t="s">
        <v>80</v>
      </c>
      <c r="E15" t="s">
        <v>77</v>
      </c>
      <c r="F15" t="s">
        <v>77</v>
      </c>
      <c r="G15" t="s">
        <v>477</v>
      </c>
      <c r="H15" t="s">
        <v>470</v>
      </c>
      <c r="K15" t="str">
        <f>The_Open[[#This Row],[Name]]</f>
        <v>Nico Echavarria</v>
      </c>
      <c r="L15">
        <f>IF(The_Open[[#This Row],[Cut]]="CUT", "CUT", The_Open[[#This Row],[Round 1]]+The_Open[[#This Row],[Round 2]]+The_Open[[#This Row],[Round 3]]+The_Open[[#This Row],[Round 4]])</f>
        <v>268</v>
      </c>
      <c r="M15" t="str">
        <f>IF(The_Open[[#This Row],[Total]]="MC", "CUT", "")</f>
        <v/>
      </c>
      <c r="BJ15"/>
    </row>
    <row r="16" spans="1:62" x14ac:dyDescent="0.45">
      <c r="A16" t="s">
        <v>476</v>
      </c>
      <c r="B16" t="s">
        <v>317</v>
      </c>
      <c r="C16" t="s">
        <v>84</v>
      </c>
      <c r="D16" t="s">
        <v>84</v>
      </c>
      <c r="E16" t="s">
        <v>81</v>
      </c>
      <c r="F16" t="s">
        <v>81</v>
      </c>
      <c r="G16" t="s">
        <v>477</v>
      </c>
      <c r="H16" t="s">
        <v>470</v>
      </c>
      <c r="K16" t="str">
        <f>The_Open[[#This Row],[Name]]</f>
        <v>Austin Eckroat</v>
      </c>
      <c r="L16">
        <f>IF(The_Open[[#This Row],[Cut]]="CUT", "CUT", The_Open[[#This Row],[Round 1]]+The_Open[[#This Row],[Round 2]]+The_Open[[#This Row],[Round 3]]+The_Open[[#This Row],[Round 4]])</f>
        <v>268</v>
      </c>
      <c r="M16" t="str">
        <f>IF(The_Open[[#This Row],[Total]]="MC", "CUT", "")</f>
        <v/>
      </c>
      <c r="BJ16"/>
    </row>
    <row r="17" spans="1:62" x14ac:dyDescent="0.45">
      <c r="A17" t="s">
        <v>476</v>
      </c>
      <c r="B17" t="s">
        <v>281</v>
      </c>
      <c r="C17" t="s">
        <v>77</v>
      </c>
      <c r="D17" t="s">
        <v>81</v>
      </c>
      <c r="E17" t="s">
        <v>79</v>
      </c>
      <c r="F17" t="s">
        <v>81</v>
      </c>
      <c r="G17" t="s">
        <v>477</v>
      </c>
      <c r="H17" t="s">
        <v>470</v>
      </c>
      <c r="K17" t="str">
        <f>The_Open[[#This Row],[Name]]</f>
        <v>Ben Griffin</v>
      </c>
      <c r="L17">
        <f>IF(The_Open[[#This Row],[Cut]]="CUT", "CUT", The_Open[[#This Row],[Round 1]]+The_Open[[#This Row],[Round 2]]+The_Open[[#This Row],[Round 3]]+The_Open[[#This Row],[Round 4]])</f>
        <v>268</v>
      </c>
      <c r="M17" t="str">
        <f>IF(The_Open[[#This Row],[Total]]="MC", "CUT", "")</f>
        <v/>
      </c>
      <c r="BJ17"/>
    </row>
    <row r="18" spans="1:62" x14ac:dyDescent="0.45">
      <c r="A18" t="s">
        <v>476</v>
      </c>
      <c r="B18" t="s">
        <v>276</v>
      </c>
      <c r="C18" t="s">
        <v>77</v>
      </c>
      <c r="D18" t="s">
        <v>79</v>
      </c>
      <c r="E18" t="s">
        <v>81</v>
      </c>
      <c r="F18" t="s">
        <v>81</v>
      </c>
      <c r="G18" t="s">
        <v>477</v>
      </c>
      <c r="H18" t="s">
        <v>470</v>
      </c>
      <c r="K18" t="str">
        <f>The_Open[[#This Row],[Name]]</f>
        <v>S.H. Kim</v>
      </c>
      <c r="L18">
        <f>IF(The_Open[[#This Row],[Cut]]="CUT", "CUT", The_Open[[#This Row],[Round 1]]+The_Open[[#This Row],[Round 2]]+The_Open[[#This Row],[Round 3]]+The_Open[[#This Row],[Round 4]])</f>
        <v>268</v>
      </c>
      <c r="M18" t="str">
        <f>IF(The_Open[[#This Row],[Total]]="MC", "CUT", "")</f>
        <v/>
      </c>
      <c r="BJ18"/>
    </row>
    <row r="19" spans="1:62" x14ac:dyDescent="0.45">
      <c r="A19" t="s">
        <v>476</v>
      </c>
      <c r="B19" t="s">
        <v>251</v>
      </c>
      <c r="C19" t="s">
        <v>78</v>
      </c>
      <c r="D19" t="s">
        <v>84</v>
      </c>
      <c r="E19" t="s">
        <v>82</v>
      </c>
      <c r="F19" t="s">
        <v>81</v>
      </c>
      <c r="G19" t="s">
        <v>477</v>
      </c>
      <c r="H19" t="s">
        <v>470</v>
      </c>
      <c r="K19" t="str">
        <f>The_Open[[#This Row],[Name]]</f>
        <v>Taylor Montgomery</v>
      </c>
      <c r="L19">
        <f>IF(The_Open[[#This Row],[Cut]]="CUT", "CUT", The_Open[[#This Row],[Round 1]]+The_Open[[#This Row],[Round 2]]+The_Open[[#This Row],[Round 3]]+The_Open[[#This Row],[Round 4]])</f>
        <v>268</v>
      </c>
      <c r="M19" t="str">
        <f>IF(The_Open[[#This Row],[Total]]="MC", "CUT", "")</f>
        <v/>
      </c>
      <c r="BJ19"/>
    </row>
    <row r="20" spans="1:62" x14ac:dyDescent="0.45">
      <c r="A20" t="s">
        <v>476</v>
      </c>
      <c r="B20" t="s">
        <v>338</v>
      </c>
      <c r="C20" t="s">
        <v>84</v>
      </c>
      <c r="D20" t="s">
        <v>82</v>
      </c>
      <c r="E20" t="s">
        <v>79</v>
      </c>
      <c r="F20" t="s">
        <v>77</v>
      </c>
      <c r="G20" t="s">
        <v>477</v>
      </c>
      <c r="H20" t="s">
        <v>470</v>
      </c>
      <c r="K20" t="str">
        <f>The_Open[[#This Row],[Name]]</f>
        <v>Andrew Novak</v>
      </c>
      <c r="L20">
        <f>IF(The_Open[[#This Row],[Cut]]="CUT", "CUT", The_Open[[#This Row],[Round 1]]+The_Open[[#This Row],[Round 2]]+The_Open[[#This Row],[Round 3]]+The_Open[[#This Row],[Round 4]])</f>
        <v>268</v>
      </c>
      <c r="M20" t="str">
        <f>IF(The_Open[[#This Row],[Total]]="MC", "CUT", "")</f>
        <v/>
      </c>
      <c r="BJ20"/>
    </row>
    <row r="21" spans="1:62" x14ac:dyDescent="0.45">
      <c r="A21" t="s">
        <v>476</v>
      </c>
      <c r="B21" t="s">
        <v>253</v>
      </c>
      <c r="C21" t="s">
        <v>84</v>
      </c>
      <c r="D21" t="s">
        <v>78</v>
      </c>
      <c r="E21" t="s">
        <v>83</v>
      </c>
      <c r="F21" t="s">
        <v>79</v>
      </c>
      <c r="G21" t="s">
        <v>477</v>
      </c>
      <c r="H21" t="s">
        <v>470</v>
      </c>
      <c r="K21" t="str">
        <f>The_Open[[#This Row],[Name]]</f>
        <v>J.J. Spaun</v>
      </c>
      <c r="L21">
        <f>IF(The_Open[[#This Row],[Cut]]="CUT", "CUT", The_Open[[#This Row],[Round 1]]+The_Open[[#This Row],[Round 2]]+The_Open[[#This Row],[Round 3]]+The_Open[[#This Row],[Round 4]])</f>
        <v>268</v>
      </c>
      <c r="M21" t="str">
        <f>IF(The_Open[[#This Row],[Total]]="MC", "CUT", "")</f>
        <v/>
      </c>
      <c r="BJ21"/>
    </row>
    <row r="22" spans="1:62" x14ac:dyDescent="0.45">
      <c r="A22" t="s">
        <v>478</v>
      </c>
      <c r="B22" t="s">
        <v>220</v>
      </c>
      <c r="C22" t="s">
        <v>84</v>
      </c>
      <c r="D22" t="s">
        <v>81</v>
      </c>
      <c r="E22" t="s">
        <v>79</v>
      </c>
      <c r="F22" t="s">
        <v>81</v>
      </c>
      <c r="G22" t="s">
        <v>479</v>
      </c>
      <c r="H22" t="s">
        <v>470</v>
      </c>
      <c r="K22" t="str">
        <f>The_Open[[#This Row],[Name]]</f>
        <v>Stewart Cink</v>
      </c>
      <c r="L22">
        <f>IF(The_Open[[#This Row],[Cut]]="CUT", "CUT", The_Open[[#This Row],[Round 1]]+The_Open[[#This Row],[Round 2]]+The_Open[[#This Row],[Round 3]]+The_Open[[#This Row],[Round 4]])</f>
        <v>269</v>
      </c>
      <c r="M22" t="str">
        <f>IF(The_Open[[#This Row],[Total]]="MC", "CUT", "")</f>
        <v/>
      </c>
      <c r="BJ22"/>
    </row>
    <row r="23" spans="1:62" x14ac:dyDescent="0.45">
      <c r="A23" t="s">
        <v>478</v>
      </c>
      <c r="B23" t="s">
        <v>331</v>
      </c>
      <c r="C23" t="s">
        <v>82</v>
      </c>
      <c r="D23" t="s">
        <v>79</v>
      </c>
      <c r="E23" t="s">
        <v>81</v>
      </c>
      <c r="F23" t="s">
        <v>78</v>
      </c>
      <c r="G23" t="s">
        <v>479</v>
      </c>
      <c r="H23" t="s">
        <v>470</v>
      </c>
      <c r="K23" t="str">
        <f>The_Open[[#This Row],[Name]]</f>
        <v>Brice Garnett</v>
      </c>
      <c r="L23">
        <f>IF(The_Open[[#This Row],[Cut]]="CUT", "CUT", The_Open[[#This Row],[Round 1]]+The_Open[[#This Row],[Round 2]]+The_Open[[#This Row],[Round 3]]+The_Open[[#This Row],[Round 4]])</f>
        <v>269</v>
      </c>
      <c r="M23" t="str">
        <f>IF(The_Open[[#This Row],[Total]]="MC", "CUT", "")</f>
        <v/>
      </c>
      <c r="BJ23"/>
    </row>
    <row r="24" spans="1:62" x14ac:dyDescent="0.45">
      <c r="A24" t="s">
        <v>478</v>
      </c>
      <c r="B24" t="s">
        <v>255</v>
      </c>
      <c r="C24" t="s">
        <v>79</v>
      </c>
      <c r="D24" t="s">
        <v>84</v>
      </c>
      <c r="E24" t="s">
        <v>79</v>
      </c>
      <c r="F24" t="s">
        <v>80</v>
      </c>
      <c r="G24" t="s">
        <v>479</v>
      </c>
      <c r="H24" t="s">
        <v>470</v>
      </c>
      <c r="K24" t="str">
        <f>The_Open[[#This Row],[Name]]</f>
        <v>J.T. Poston</v>
      </c>
      <c r="L24">
        <f>IF(The_Open[[#This Row],[Cut]]="CUT", "CUT", The_Open[[#This Row],[Round 1]]+The_Open[[#This Row],[Round 2]]+The_Open[[#This Row],[Round 3]]+The_Open[[#This Row],[Round 4]])</f>
        <v>269</v>
      </c>
      <c r="M24" t="str">
        <f>IF(The_Open[[#This Row],[Total]]="MC", "CUT", "")</f>
        <v/>
      </c>
      <c r="BJ24"/>
    </row>
    <row r="25" spans="1:62" x14ac:dyDescent="0.45">
      <c r="A25" t="s">
        <v>478</v>
      </c>
      <c r="B25" t="s">
        <v>110</v>
      </c>
      <c r="C25" t="s">
        <v>80</v>
      </c>
      <c r="D25" t="s">
        <v>84</v>
      </c>
      <c r="E25" t="s">
        <v>79</v>
      </c>
      <c r="F25" t="s">
        <v>79</v>
      </c>
      <c r="G25" t="s">
        <v>479</v>
      </c>
      <c r="H25" t="s">
        <v>470</v>
      </c>
      <c r="K25" t="str">
        <f>The_Open[[#This Row],[Name]]</f>
        <v>Adam Scott</v>
      </c>
      <c r="L25">
        <f>IF(The_Open[[#This Row],[Cut]]="CUT", "CUT", The_Open[[#This Row],[Round 1]]+The_Open[[#This Row],[Round 2]]+The_Open[[#This Row],[Round 3]]+The_Open[[#This Row],[Round 4]])</f>
        <v>269</v>
      </c>
      <c r="M25" t="str">
        <f>IF(The_Open[[#This Row],[Total]]="MC", "CUT", "")</f>
        <v/>
      </c>
      <c r="BJ25"/>
    </row>
    <row r="26" spans="1:62" x14ac:dyDescent="0.45">
      <c r="A26" t="s">
        <v>478</v>
      </c>
      <c r="B26" t="s">
        <v>105</v>
      </c>
      <c r="C26" t="s">
        <v>77</v>
      </c>
      <c r="D26" t="s">
        <v>81</v>
      </c>
      <c r="E26" t="s">
        <v>83</v>
      </c>
      <c r="F26" t="s">
        <v>77</v>
      </c>
      <c r="G26" t="s">
        <v>479</v>
      </c>
      <c r="H26" t="s">
        <v>470</v>
      </c>
      <c r="K26" t="str">
        <f>The_Open[[#This Row],[Name]]</f>
        <v>Brendon Todd</v>
      </c>
      <c r="L26">
        <f>IF(The_Open[[#This Row],[Cut]]="CUT", "CUT", The_Open[[#This Row],[Round 1]]+The_Open[[#This Row],[Round 2]]+The_Open[[#This Row],[Round 3]]+The_Open[[#This Row],[Round 4]])</f>
        <v>269</v>
      </c>
      <c r="M26" t="str">
        <f>IF(The_Open[[#This Row],[Total]]="MC", "CUT", "")</f>
        <v/>
      </c>
      <c r="BJ26"/>
    </row>
    <row r="27" spans="1:62" x14ac:dyDescent="0.45">
      <c r="A27" t="s">
        <v>478</v>
      </c>
      <c r="B27" t="s">
        <v>284</v>
      </c>
      <c r="C27" t="s">
        <v>79</v>
      </c>
      <c r="D27" t="s">
        <v>84</v>
      </c>
      <c r="E27" t="s">
        <v>81</v>
      </c>
      <c r="F27" t="s">
        <v>81</v>
      </c>
      <c r="G27" t="s">
        <v>479</v>
      </c>
      <c r="H27" t="s">
        <v>470</v>
      </c>
      <c r="K27" t="str">
        <f>The_Open[[#This Row],[Name]]</f>
        <v>Kevin Yu</v>
      </c>
      <c r="L27">
        <f>IF(The_Open[[#This Row],[Cut]]="CUT", "CUT", The_Open[[#This Row],[Round 1]]+The_Open[[#This Row],[Round 2]]+The_Open[[#This Row],[Round 3]]+The_Open[[#This Row],[Round 4]])</f>
        <v>269</v>
      </c>
      <c r="M27" t="str">
        <f>IF(The_Open[[#This Row],[Total]]="MC", "CUT", "")</f>
        <v/>
      </c>
      <c r="BJ27"/>
    </row>
    <row r="28" spans="1:62" x14ac:dyDescent="0.45">
      <c r="A28" t="s">
        <v>478</v>
      </c>
      <c r="B28" t="s">
        <v>298</v>
      </c>
      <c r="C28" t="s">
        <v>82</v>
      </c>
      <c r="D28" t="s">
        <v>77</v>
      </c>
      <c r="E28" t="s">
        <v>84</v>
      </c>
      <c r="F28" t="s">
        <v>81</v>
      </c>
      <c r="G28" t="s">
        <v>479</v>
      </c>
      <c r="H28" t="s">
        <v>470</v>
      </c>
      <c r="K28" t="str">
        <f>The_Open[[#This Row],[Name]]</f>
        <v>Carl Yuan</v>
      </c>
      <c r="L28">
        <f>IF(The_Open[[#This Row],[Cut]]="CUT", "CUT", The_Open[[#This Row],[Round 1]]+The_Open[[#This Row],[Round 2]]+The_Open[[#This Row],[Round 3]]+The_Open[[#This Row],[Round 4]])</f>
        <v>269</v>
      </c>
      <c r="M28" t="str">
        <f>IF(The_Open[[#This Row],[Total]]="MC", "CUT", "")</f>
        <v/>
      </c>
      <c r="BJ28"/>
    </row>
    <row r="29" spans="1:62" x14ac:dyDescent="0.45">
      <c r="A29" t="s">
        <v>480</v>
      </c>
      <c r="B29" t="s">
        <v>267</v>
      </c>
      <c r="C29" t="s">
        <v>80</v>
      </c>
      <c r="D29" t="s">
        <v>79</v>
      </c>
      <c r="E29" t="s">
        <v>457</v>
      </c>
      <c r="F29" t="s">
        <v>83</v>
      </c>
      <c r="G29" t="s">
        <v>481</v>
      </c>
      <c r="H29" t="s">
        <v>470</v>
      </c>
      <c r="K29" t="str">
        <f>The_Open[[#This Row],[Name]]</f>
        <v>Will Gordon</v>
      </c>
      <c r="L29">
        <f>IF(The_Open[[#This Row],[Cut]]="CUT", "CUT", The_Open[[#This Row],[Round 1]]+The_Open[[#This Row],[Round 2]]+The_Open[[#This Row],[Round 3]]+The_Open[[#This Row],[Round 4]])</f>
        <v>270</v>
      </c>
      <c r="M29" t="str">
        <f>IF(The_Open[[#This Row],[Total]]="MC", "CUT", "")</f>
        <v/>
      </c>
      <c r="BJ29"/>
    </row>
    <row r="30" spans="1:62" x14ac:dyDescent="0.45">
      <c r="A30" t="s">
        <v>480</v>
      </c>
      <c r="B30" t="s">
        <v>314</v>
      </c>
      <c r="C30" t="s">
        <v>84</v>
      </c>
      <c r="D30" t="s">
        <v>80</v>
      </c>
      <c r="E30" t="s">
        <v>84</v>
      </c>
      <c r="F30" t="s">
        <v>80</v>
      </c>
      <c r="G30" t="s">
        <v>481</v>
      </c>
      <c r="H30" t="s">
        <v>470</v>
      </c>
      <c r="K30" t="str">
        <f>The_Open[[#This Row],[Name]]</f>
        <v>Harry Hall</v>
      </c>
      <c r="L30">
        <f>IF(The_Open[[#This Row],[Cut]]="CUT", "CUT", The_Open[[#This Row],[Round 1]]+The_Open[[#This Row],[Round 2]]+The_Open[[#This Row],[Round 3]]+The_Open[[#This Row],[Round 4]])</f>
        <v>270</v>
      </c>
      <c r="M30" t="str">
        <f>IF(The_Open[[#This Row],[Total]]="MC", "CUT", "")</f>
        <v/>
      </c>
      <c r="BJ30"/>
    </row>
    <row r="31" spans="1:62" x14ac:dyDescent="0.45">
      <c r="A31" t="s">
        <v>480</v>
      </c>
      <c r="B31" t="s">
        <v>272</v>
      </c>
      <c r="C31" t="s">
        <v>79</v>
      </c>
      <c r="D31" t="s">
        <v>84</v>
      </c>
      <c r="E31" t="s">
        <v>80</v>
      </c>
      <c r="F31" t="s">
        <v>81</v>
      </c>
      <c r="G31" t="s">
        <v>481</v>
      </c>
      <c r="H31" t="s">
        <v>470</v>
      </c>
      <c r="K31" t="str">
        <f>The_Open[[#This Row],[Name]]</f>
        <v>Stephan Jaeger</v>
      </c>
      <c r="L31">
        <f>IF(The_Open[[#This Row],[Cut]]="CUT", "CUT", The_Open[[#This Row],[Round 1]]+The_Open[[#This Row],[Round 2]]+The_Open[[#This Row],[Round 3]]+The_Open[[#This Row],[Round 4]])</f>
        <v>270</v>
      </c>
      <c r="M31" t="str">
        <f>IF(The_Open[[#This Row],[Total]]="MC", "CUT", "")</f>
        <v/>
      </c>
      <c r="BJ31"/>
    </row>
    <row r="32" spans="1:62" x14ac:dyDescent="0.45">
      <c r="A32" t="s">
        <v>480</v>
      </c>
      <c r="B32" t="s">
        <v>231</v>
      </c>
      <c r="C32" t="s">
        <v>80</v>
      </c>
      <c r="D32" t="s">
        <v>79</v>
      </c>
      <c r="E32" t="s">
        <v>77</v>
      </c>
      <c r="F32" t="s">
        <v>80</v>
      </c>
      <c r="G32" t="s">
        <v>481</v>
      </c>
      <c r="H32" t="s">
        <v>470</v>
      </c>
      <c r="K32" t="str">
        <f>The_Open[[#This Row],[Name]]</f>
        <v>K.H. Lee</v>
      </c>
      <c r="L32">
        <f>IF(The_Open[[#This Row],[Cut]]="CUT", "CUT", The_Open[[#This Row],[Round 1]]+The_Open[[#This Row],[Round 2]]+The_Open[[#This Row],[Round 3]]+The_Open[[#This Row],[Round 4]])</f>
        <v>270</v>
      </c>
      <c r="M32" t="str">
        <f>IF(The_Open[[#This Row],[Total]]="MC", "CUT", "")</f>
        <v/>
      </c>
      <c r="BJ32"/>
    </row>
    <row r="33" spans="1:62" x14ac:dyDescent="0.45">
      <c r="A33" t="s">
        <v>482</v>
      </c>
      <c r="B33" t="s">
        <v>326</v>
      </c>
      <c r="C33" t="s">
        <v>81</v>
      </c>
      <c r="D33" t="s">
        <v>80</v>
      </c>
      <c r="E33" t="s">
        <v>77</v>
      </c>
      <c r="F33" t="s">
        <v>80</v>
      </c>
      <c r="G33" t="s">
        <v>483</v>
      </c>
      <c r="H33" t="s">
        <v>470</v>
      </c>
      <c r="K33" t="str">
        <f>The_Open[[#This Row],[Name]]</f>
        <v>Tyson Alexander</v>
      </c>
      <c r="L33">
        <f>IF(The_Open[[#This Row],[Cut]]="CUT", "CUT", The_Open[[#This Row],[Round 1]]+The_Open[[#This Row],[Round 2]]+The_Open[[#This Row],[Round 3]]+The_Open[[#This Row],[Round 4]])</f>
        <v>271</v>
      </c>
      <c r="M33" t="str">
        <f>IF(The_Open[[#This Row],[Total]]="MC", "CUT", "")</f>
        <v/>
      </c>
      <c r="BJ33"/>
    </row>
    <row r="34" spans="1:62" x14ac:dyDescent="0.45">
      <c r="A34" t="s">
        <v>482</v>
      </c>
      <c r="B34" t="s">
        <v>446</v>
      </c>
      <c r="C34" t="s">
        <v>84</v>
      </c>
      <c r="D34" t="s">
        <v>82</v>
      </c>
      <c r="E34" t="s">
        <v>81</v>
      </c>
      <c r="F34" t="s">
        <v>79</v>
      </c>
      <c r="G34" t="s">
        <v>483</v>
      </c>
      <c r="H34" t="s">
        <v>470</v>
      </c>
      <c r="K34" t="str">
        <f>The_Open[[#This Row],[Name]]</f>
        <v>Cameron Davis</v>
      </c>
      <c r="L34">
        <f>IF(The_Open[[#This Row],[Cut]]="CUT", "CUT", The_Open[[#This Row],[Round 1]]+The_Open[[#This Row],[Round 2]]+The_Open[[#This Row],[Round 3]]+The_Open[[#This Row],[Round 4]])</f>
        <v>271</v>
      </c>
      <c r="M34" t="str">
        <f>IF(The_Open[[#This Row],[Total]]="MC", "CUT", "")</f>
        <v/>
      </c>
      <c r="BJ34"/>
    </row>
    <row r="35" spans="1:62" x14ac:dyDescent="0.45">
      <c r="A35" t="s">
        <v>482</v>
      </c>
      <c r="B35" t="s">
        <v>107</v>
      </c>
      <c r="C35" t="s">
        <v>79</v>
      </c>
      <c r="D35" t="s">
        <v>80</v>
      </c>
      <c r="E35" t="s">
        <v>82</v>
      </c>
      <c r="F35" t="s">
        <v>77</v>
      </c>
      <c r="G35" t="s">
        <v>483</v>
      </c>
      <c r="H35" t="s">
        <v>470</v>
      </c>
      <c r="K35" t="str">
        <f>The_Open[[#This Row],[Name]]</f>
        <v>Brian Harman</v>
      </c>
      <c r="L35">
        <f>IF(The_Open[[#This Row],[Cut]]="CUT", "CUT", The_Open[[#This Row],[Round 1]]+The_Open[[#This Row],[Round 2]]+The_Open[[#This Row],[Round 3]]+The_Open[[#This Row],[Round 4]])</f>
        <v>271</v>
      </c>
      <c r="M35" t="str">
        <f>IF(The_Open[[#This Row],[Total]]="MC", "CUT", "")</f>
        <v/>
      </c>
      <c r="BJ35"/>
    </row>
    <row r="36" spans="1:62" x14ac:dyDescent="0.45">
      <c r="A36" t="s">
        <v>482</v>
      </c>
      <c r="B36" t="s">
        <v>73</v>
      </c>
      <c r="C36" t="s">
        <v>79</v>
      </c>
      <c r="D36" t="s">
        <v>80</v>
      </c>
      <c r="E36" t="s">
        <v>79</v>
      </c>
      <c r="F36" t="s">
        <v>81</v>
      </c>
      <c r="G36" t="s">
        <v>483</v>
      </c>
      <c r="H36" t="s">
        <v>470</v>
      </c>
      <c r="K36" t="str">
        <f>The_Open[[#This Row],[Name]]</f>
        <v>Russell Henley</v>
      </c>
      <c r="L36">
        <f>IF(The_Open[[#This Row],[Cut]]="CUT", "CUT", The_Open[[#This Row],[Round 1]]+The_Open[[#This Row],[Round 2]]+The_Open[[#This Row],[Round 3]]+The_Open[[#This Row],[Round 4]])</f>
        <v>271</v>
      </c>
      <c r="M36" t="str">
        <f>IF(The_Open[[#This Row],[Total]]="MC", "CUT", "")</f>
        <v/>
      </c>
      <c r="BJ36"/>
    </row>
    <row r="37" spans="1:62" x14ac:dyDescent="0.45">
      <c r="A37" t="s">
        <v>482</v>
      </c>
      <c r="B37" t="s">
        <v>327</v>
      </c>
      <c r="C37" t="s">
        <v>81</v>
      </c>
      <c r="D37" t="s">
        <v>81</v>
      </c>
      <c r="E37" t="s">
        <v>79</v>
      </c>
      <c r="F37" t="s">
        <v>81</v>
      </c>
      <c r="G37" t="s">
        <v>483</v>
      </c>
      <c r="H37" t="s">
        <v>470</v>
      </c>
      <c r="K37" t="str">
        <f>The_Open[[#This Row],[Name]]</f>
        <v>Ben Martin</v>
      </c>
      <c r="L37">
        <f>IF(The_Open[[#This Row],[Cut]]="CUT", "CUT", The_Open[[#This Row],[Round 1]]+The_Open[[#This Row],[Round 2]]+The_Open[[#This Row],[Round 3]]+The_Open[[#This Row],[Round 4]])</f>
        <v>271</v>
      </c>
      <c r="M37" t="str">
        <f>IF(The_Open[[#This Row],[Total]]="MC", "CUT", "")</f>
        <v/>
      </c>
      <c r="BJ37"/>
    </row>
    <row r="38" spans="1:62" x14ac:dyDescent="0.45">
      <c r="A38" t="s">
        <v>482</v>
      </c>
      <c r="B38" t="s">
        <v>257</v>
      </c>
      <c r="C38" t="s">
        <v>77</v>
      </c>
      <c r="D38" t="s">
        <v>81</v>
      </c>
      <c r="E38" t="s">
        <v>81</v>
      </c>
      <c r="F38" t="s">
        <v>82</v>
      </c>
      <c r="G38" t="s">
        <v>483</v>
      </c>
      <c r="H38" t="s">
        <v>470</v>
      </c>
      <c r="K38" t="str">
        <f>The_Open[[#This Row],[Name]]</f>
        <v>Denny McCarthy</v>
      </c>
      <c r="L38">
        <f>IF(The_Open[[#This Row],[Cut]]="CUT", "CUT", The_Open[[#This Row],[Round 1]]+The_Open[[#This Row],[Round 2]]+The_Open[[#This Row],[Round 3]]+The_Open[[#This Row],[Round 4]])</f>
        <v>271</v>
      </c>
      <c r="M38" t="str">
        <f>IF(The_Open[[#This Row],[Total]]="MC", "CUT", "")</f>
        <v/>
      </c>
      <c r="BJ38"/>
    </row>
    <row r="39" spans="1:62" x14ac:dyDescent="0.45">
      <c r="A39" t="s">
        <v>482</v>
      </c>
      <c r="B39" t="s">
        <v>99</v>
      </c>
      <c r="C39" t="s">
        <v>83</v>
      </c>
      <c r="D39" t="s">
        <v>79</v>
      </c>
      <c r="E39" t="s">
        <v>81</v>
      </c>
      <c r="F39" t="s">
        <v>77</v>
      </c>
      <c r="G39" t="s">
        <v>483</v>
      </c>
      <c r="H39" t="s">
        <v>470</v>
      </c>
      <c r="K39" t="str">
        <f>The_Open[[#This Row],[Name]]</f>
        <v>Ryan Palmer</v>
      </c>
      <c r="L39">
        <f>IF(The_Open[[#This Row],[Cut]]="CUT", "CUT", The_Open[[#This Row],[Round 1]]+The_Open[[#This Row],[Round 2]]+The_Open[[#This Row],[Round 3]]+The_Open[[#This Row],[Round 4]])</f>
        <v>271</v>
      </c>
      <c r="M39" t="str">
        <f>IF(The_Open[[#This Row],[Total]]="MC", "CUT", "")</f>
        <v/>
      </c>
      <c r="BJ39"/>
    </row>
    <row r="40" spans="1:62" x14ac:dyDescent="0.45">
      <c r="A40" t="s">
        <v>482</v>
      </c>
      <c r="B40" t="s">
        <v>335</v>
      </c>
      <c r="C40" t="s">
        <v>79</v>
      </c>
      <c r="D40" t="s">
        <v>81</v>
      </c>
      <c r="E40" t="s">
        <v>79</v>
      </c>
      <c r="F40" t="s">
        <v>80</v>
      </c>
      <c r="G40" t="s">
        <v>483</v>
      </c>
      <c r="H40" t="s">
        <v>470</v>
      </c>
      <c r="K40" t="str">
        <f>The_Open[[#This Row],[Name]]</f>
        <v>Doc Redman</v>
      </c>
      <c r="L40">
        <f>IF(The_Open[[#This Row],[Cut]]="CUT", "CUT", The_Open[[#This Row],[Round 1]]+The_Open[[#This Row],[Round 2]]+The_Open[[#This Row],[Round 3]]+The_Open[[#This Row],[Round 4]])</f>
        <v>271</v>
      </c>
      <c r="M40" t="str">
        <f>IF(The_Open[[#This Row],[Total]]="MC", "CUT", "")</f>
        <v/>
      </c>
      <c r="BJ40"/>
    </row>
    <row r="41" spans="1:62" x14ac:dyDescent="0.45">
      <c r="A41" t="s">
        <v>482</v>
      </c>
      <c r="B41" t="s">
        <v>71</v>
      </c>
      <c r="C41" t="s">
        <v>80</v>
      </c>
      <c r="D41" t="s">
        <v>77</v>
      </c>
      <c r="E41" t="s">
        <v>80</v>
      </c>
      <c r="F41" t="s">
        <v>81</v>
      </c>
      <c r="G41" t="s">
        <v>483</v>
      </c>
      <c r="H41" t="s">
        <v>470</v>
      </c>
      <c r="K41" t="str">
        <f>The_Open[[#This Row],[Name]]</f>
        <v>Michael Thompson</v>
      </c>
      <c r="L41">
        <f>IF(The_Open[[#This Row],[Cut]]="CUT", "CUT", The_Open[[#This Row],[Round 1]]+The_Open[[#This Row],[Round 2]]+The_Open[[#This Row],[Round 3]]+The_Open[[#This Row],[Round 4]])</f>
        <v>271</v>
      </c>
      <c r="M41" t="str">
        <f>IF(The_Open[[#This Row],[Total]]="MC", "CUT", "")</f>
        <v/>
      </c>
      <c r="BJ41"/>
    </row>
    <row r="42" spans="1:62" x14ac:dyDescent="0.45">
      <c r="A42" t="s">
        <v>484</v>
      </c>
      <c r="B42" t="s">
        <v>342</v>
      </c>
      <c r="C42" t="s">
        <v>80</v>
      </c>
      <c r="D42" t="s">
        <v>80</v>
      </c>
      <c r="E42" t="s">
        <v>81</v>
      </c>
      <c r="F42" t="s">
        <v>84</v>
      </c>
      <c r="G42" t="s">
        <v>485</v>
      </c>
      <c r="H42" t="s">
        <v>470</v>
      </c>
      <c r="K42" t="str">
        <f>The_Open[[#This Row],[Name]]</f>
        <v>Ryan Brehm</v>
      </c>
      <c r="L42">
        <f>IF(The_Open[[#This Row],[Cut]]="CUT", "CUT", The_Open[[#This Row],[Round 1]]+The_Open[[#This Row],[Round 2]]+The_Open[[#This Row],[Round 3]]+The_Open[[#This Row],[Round 4]])</f>
        <v>272</v>
      </c>
      <c r="M42" t="str">
        <f>IF(The_Open[[#This Row],[Total]]="MC", "CUT", "")</f>
        <v/>
      </c>
      <c r="BJ42"/>
    </row>
    <row r="43" spans="1:62" x14ac:dyDescent="0.45">
      <c r="A43" t="s">
        <v>484</v>
      </c>
      <c r="B43" t="s">
        <v>268</v>
      </c>
      <c r="C43" t="s">
        <v>83</v>
      </c>
      <c r="D43" t="s">
        <v>457</v>
      </c>
      <c r="E43" t="s">
        <v>81</v>
      </c>
      <c r="F43" t="s">
        <v>82</v>
      </c>
      <c r="G43" t="s">
        <v>485</v>
      </c>
      <c r="H43" t="s">
        <v>470</v>
      </c>
      <c r="K43" t="str">
        <f>The_Open[[#This Row],[Name]]</f>
        <v>Nick Hardy</v>
      </c>
      <c r="L43">
        <f>IF(The_Open[[#This Row],[Cut]]="CUT", "CUT", The_Open[[#This Row],[Round 1]]+The_Open[[#This Row],[Round 2]]+The_Open[[#This Row],[Round 3]]+The_Open[[#This Row],[Round 4]])</f>
        <v>272</v>
      </c>
      <c r="M43" t="str">
        <f>IF(The_Open[[#This Row],[Total]]="MC", "CUT", "")</f>
        <v/>
      </c>
      <c r="BJ43"/>
    </row>
    <row r="44" spans="1:62" x14ac:dyDescent="0.45">
      <c r="A44" t="s">
        <v>484</v>
      </c>
      <c r="B44" t="s">
        <v>74</v>
      </c>
      <c r="C44" t="s">
        <v>81</v>
      </c>
      <c r="D44" t="s">
        <v>82</v>
      </c>
      <c r="E44" t="s">
        <v>79</v>
      </c>
      <c r="F44" t="s">
        <v>79</v>
      </c>
      <c r="G44" t="s">
        <v>485</v>
      </c>
      <c r="H44" t="s">
        <v>470</v>
      </c>
      <c r="K44" t="str">
        <f>The_Open[[#This Row],[Name]]</f>
        <v>Tom Hoge</v>
      </c>
      <c r="L44">
        <f>IF(The_Open[[#This Row],[Cut]]="CUT", "CUT", The_Open[[#This Row],[Round 1]]+The_Open[[#This Row],[Round 2]]+The_Open[[#This Row],[Round 3]]+The_Open[[#This Row],[Round 4]])</f>
        <v>272</v>
      </c>
      <c r="M44" t="str">
        <f>IF(The_Open[[#This Row],[Total]]="MC", "CUT", "")</f>
        <v/>
      </c>
      <c r="BJ44"/>
    </row>
    <row r="45" spans="1:62" x14ac:dyDescent="0.45">
      <c r="A45" t="s">
        <v>484</v>
      </c>
      <c r="B45" t="s">
        <v>349</v>
      </c>
      <c r="C45" t="s">
        <v>79</v>
      </c>
      <c r="D45" t="s">
        <v>81</v>
      </c>
      <c r="E45" t="s">
        <v>80</v>
      </c>
      <c r="F45" t="s">
        <v>81</v>
      </c>
      <c r="G45" t="s">
        <v>485</v>
      </c>
      <c r="H45" t="s">
        <v>470</v>
      </c>
      <c r="K45" t="str">
        <f>The_Open[[#This Row],[Name]]</f>
        <v>Augusto Nunez</v>
      </c>
      <c r="L45">
        <f>IF(The_Open[[#This Row],[Cut]]="CUT", "CUT", The_Open[[#This Row],[Round 1]]+The_Open[[#This Row],[Round 2]]+The_Open[[#This Row],[Round 3]]+The_Open[[#This Row],[Round 4]])</f>
        <v>272</v>
      </c>
      <c r="M45" t="str">
        <f>IF(The_Open[[#This Row],[Total]]="MC", "CUT", "")</f>
        <v/>
      </c>
      <c r="BJ45"/>
    </row>
    <row r="46" spans="1:62" x14ac:dyDescent="0.45">
      <c r="A46" t="s">
        <v>484</v>
      </c>
      <c r="B46" t="s">
        <v>283</v>
      </c>
      <c r="C46" t="s">
        <v>79</v>
      </c>
      <c r="D46" t="s">
        <v>79</v>
      </c>
      <c r="E46" t="s">
        <v>80</v>
      </c>
      <c r="F46" t="s">
        <v>80</v>
      </c>
      <c r="G46" t="s">
        <v>485</v>
      </c>
      <c r="H46" t="s">
        <v>470</v>
      </c>
      <c r="K46" t="str">
        <f>The_Open[[#This Row],[Name]]</f>
        <v>Chez Reavie</v>
      </c>
      <c r="L46">
        <f>IF(The_Open[[#This Row],[Cut]]="CUT", "CUT", The_Open[[#This Row],[Round 1]]+The_Open[[#This Row],[Round 2]]+The_Open[[#This Row],[Round 3]]+The_Open[[#This Row],[Round 4]])</f>
        <v>272</v>
      </c>
      <c r="M46" t="str">
        <f>IF(The_Open[[#This Row],[Total]]="MC", "CUT", "")</f>
        <v/>
      </c>
      <c r="BJ46"/>
    </row>
    <row r="47" spans="1:62" x14ac:dyDescent="0.45">
      <c r="A47" t="s">
        <v>484</v>
      </c>
      <c r="B47" t="s">
        <v>280</v>
      </c>
      <c r="C47" t="s">
        <v>82</v>
      </c>
      <c r="D47" t="s">
        <v>77</v>
      </c>
      <c r="E47" t="s">
        <v>81</v>
      </c>
      <c r="F47" t="s">
        <v>80</v>
      </c>
      <c r="G47" t="s">
        <v>485</v>
      </c>
      <c r="H47" t="s">
        <v>470</v>
      </c>
      <c r="K47" t="str">
        <f>The_Open[[#This Row],[Name]]</f>
        <v>Justin Suh</v>
      </c>
      <c r="L47">
        <f>IF(The_Open[[#This Row],[Cut]]="CUT", "CUT", The_Open[[#This Row],[Round 1]]+The_Open[[#This Row],[Round 2]]+The_Open[[#This Row],[Round 3]]+The_Open[[#This Row],[Round 4]])</f>
        <v>272</v>
      </c>
      <c r="M47" t="str">
        <f>IF(The_Open[[#This Row],[Total]]="MC", "CUT", "")</f>
        <v/>
      </c>
      <c r="BJ47"/>
    </row>
    <row r="48" spans="1:62" x14ac:dyDescent="0.45">
      <c r="A48" t="s">
        <v>484</v>
      </c>
      <c r="B48" t="s">
        <v>266</v>
      </c>
      <c r="C48" t="s">
        <v>80</v>
      </c>
      <c r="D48" t="s">
        <v>80</v>
      </c>
      <c r="E48" t="s">
        <v>79</v>
      </c>
      <c r="F48" t="s">
        <v>79</v>
      </c>
      <c r="G48" t="s">
        <v>485</v>
      </c>
      <c r="H48" t="s">
        <v>470</v>
      </c>
      <c r="K48" t="str">
        <f>The_Open[[#This Row],[Name]]</f>
        <v>Adam Svensson</v>
      </c>
      <c r="L48">
        <f>IF(The_Open[[#This Row],[Cut]]="CUT", "CUT", The_Open[[#This Row],[Round 1]]+The_Open[[#This Row],[Round 2]]+The_Open[[#This Row],[Round 3]]+The_Open[[#This Row],[Round 4]])</f>
        <v>272</v>
      </c>
      <c r="M48" t="str">
        <f>IF(The_Open[[#This Row],[Total]]="MC", "CUT", "")</f>
        <v/>
      </c>
      <c r="BJ48"/>
    </row>
    <row r="49" spans="1:62" x14ac:dyDescent="0.45">
      <c r="A49" t="s">
        <v>486</v>
      </c>
      <c r="B49" t="s">
        <v>294</v>
      </c>
      <c r="C49" t="s">
        <v>79</v>
      </c>
      <c r="D49" t="s">
        <v>80</v>
      </c>
      <c r="E49" t="s">
        <v>85</v>
      </c>
      <c r="F49" t="s">
        <v>77</v>
      </c>
      <c r="G49" t="s">
        <v>487</v>
      </c>
      <c r="H49" t="s">
        <v>470</v>
      </c>
      <c r="K49" t="str">
        <f>The_Open[[#This Row],[Name]]</f>
        <v>Zac Blair</v>
      </c>
      <c r="L49">
        <f>IF(The_Open[[#This Row],[Cut]]="CUT", "CUT", The_Open[[#This Row],[Round 1]]+The_Open[[#This Row],[Round 2]]+The_Open[[#This Row],[Round 3]]+The_Open[[#This Row],[Round 4]])</f>
        <v>273</v>
      </c>
      <c r="M49" t="str">
        <f>IF(The_Open[[#This Row],[Total]]="MC", "CUT", "")</f>
        <v/>
      </c>
      <c r="BJ49"/>
    </row>
    <row r="50" spans="1:62" x14ac:dyDescent="0.45">
      <c r="A50" t="s">
        <v>486</v>
      </c>
      <c r="B50" t="s">
        <v>323</v>
      </c>
      <c r="C50" t="s">
        <v>80</v>
      </c>
      <c r="D50" t="s">
        <v>81</v>
      </c>
      <c r="E50" t="s">
        <v>79</v>
      </c>
      <c r="F50" t="s">
        <v>80</v>
      </c>
      <c r="G50" t="s">
        <v>487</v>
      </c>
      <c r="H50" t="s">
        <v>470</v>
      </c>
      <c r="K50" t="str">
        <f>The_Open[[#This Row],[Name]]</f>
        <v>Danny Lee</v>
      </c>
      <c r="L50">
        <f>IF(The_Open[[#This Row],[Cut]]="CUT", "CUT", The_Open[[#This Row],[Round 1]]+The_Open[[#This Row],[Round 2]]+The_Open[[#This Row],[Round 3]]+The_Open[[#This Row],[Round 4]])</f>
        <v>273</v>
      </c>
      <c r="M50" t="str">
        <f>IF(The_Open[[#This Row],[Total]]="MC", "CUT", "")</f>
        <v/>
      </c>
      <c r="BJ50"/>
    </row>
    <row r="51" spans="1:62" x14ac:dyDescent="0.45">
      <c r="A51" t="s">
        <v>486</v>
      </c>
      <c r="B51" t="s">
        <v>292</v>
      </c>
      <c r="C51" t="s">
        <v>81</v>
      </c>
      <c r="D51" t="s">
        <v>82</v>
      </c>
      <c r="E51" t="s">
        <v>79</v>
      </c>
      <c r="F51" t="s">
        <v>81</v>
      </c>
      <c r="G51" t="s">
        <v>487</v>
      </c>
      <c r="H51" t="s">
        <v>470</v>
      </c>
      <c r="K51" t="str">
        <f>The_Open[[#This Row],[Name]]</f>
        <v>Adam Long</v>
      </c>
      <c r="L51">
        <f>IF(The_Open[[#This Row],[Cut]]="CUT", "CUT", The_Open[[#This Row],[Round 1]]+The_Open[[#This Row],[Round 2]]+The_Open[[#This Row],[Round 3]]+The_Open[[#This Row],[Round 4]])</f>
        <v>273</v>
      </c>
      <c r="M51" t="str">
        <f>IF(The_Open[[#This Row],[Total]]="MC", "CUT", "")</f>
        <v/>
      </c>
      <c r="BJ51"/>
    </row>
    <row r="52" spans="1:62" x14ac:dyDescent="0.45">
      <c r="A52" t="s">
        <v>486</v>
      </c>
      <c r="B52" t="s">
        <v>223</v>
      </c>
      <c r="C52" t="s">
        <v>81</v>
      </c>
      <c r="D52" t="s">
        <v>80</v>
      </c>
      <c r="E52" t="s">
        <v>77</v>
      </c>
      <c r="F52" t="s">
        <v>83</v>
      </c>
      <c r="G52" t="s">
        <v>487</v>
      </c>
      <c r="H52" t="s">
        <v>470</v>
      </c>
      <c r="K52" t="str">
        <f>The_Open[[#This Row],[Name]]</f>
        <v>Hideki Matsuyama</v>
      </c>
      <c r="L52">
        <f>IF(The_Open[[#This Row],[Cut]]="CUT", "CUT", The_Open[[#This Row],[Round 1]]+The_Open[[#This Row],[Round 2]]+The_Open[[#This Row],[Round 3]]+The_Open[[#This Row],[Round 4]])</f>
        <v>273</v>
      </c>
      <c r="M52" t="str">
        <f>IF(The_Open[[#This Row],[Total]]="MC", "CUT", "")</f>
        <v/>
      </c>
      <c r="BJ52"/>
    </row>
    <row r="53" spans="1:62" x14ac:dyDescent="0.45">
      <c r="A53" t="s">
        <v>486</v>
      </c>
      <c r="B53" t="s">
        <v>275</v>
      </c>
      <c r="C53" t="s">
        <v>83</v>
      </c>
      <c r="D53" t="s">
        <v>79</v>
      </c>
      <c r="E53" t="s">
        <v>84</v>
      </c>
      <c r="F53" t="s">
        <v>80</v>
      </c>
      <c r="G53" t="s">
        <v>487</v>
      </c>
      <c r="H53" t="s">
        <v>470</v>
      </c>
      <c r="K53" t="str">
        <f>The_Open[[#This Row],[Name]]</f>
        <v>Greyson Sigg</v>
      </c>
      <c r="L53">
        <f>IF(The_Open[[#This Row],[Cut]]="CUT", "CUT", The_Open[[#This Row],[Round 1]]+The_Open[[#This Row],[Round 2]]+The_Open[[#This Row],[Round 3]]+The_Open[[#This Row],[Round 4]])</f>
        <v>273</v>
      </c>
      <c r="M53" t="str">
        <f>IF(The_Open[[#This Row],[Total]]="MC", "CUT", "")</f>
        <v/>
      </c>
      <c r="BJ53"/>
    </row>
    <row r="54" spans="1:62" x14ac:dyDescent="0.45">
      <c r="A54" t="s">
        <v>486</v>
      </c>
      <c r="B54" t="s">
        <v>270</v>
      </c>
      <c r="C54" t="s">
        <v>84</v>
      </c>
      <c r="D54" t="s">
        <v>85</v>
      </c>
      <c r="E54" t="s">
        <v>81</v>
      </c>
      <c r="F54" t="s">
        <v>79</v>
      </c>
      <c r="G54" t="s">
        <v>487</v>
      </c>
      <c r="H54" t="s">
        <v>470</v>
      </c>
      <c r="K54" t="str">
        <f>The_Open[[#This Row],[Name]]</f>
        <v>Brendan Steele</v>
      </c>
      <c r="L54">
        <f>IF(The_Open[[#This Row],[Cut]]="CUT", "CUT", The_Open[[#This Row],[Round 1]]+The_Open[[#This Row],[Round 2]]+The_Open[[#This Row],[Round 3]]+The_Open[[#This Row],[Round 4]])</f>
        <v>273</v>
      </c>
      <c r="M54" t="str">
        <f>IF(The_Open[[#This Row],[Total]]="MC", "CUT", "")</f>
        <v/>
      </c>
      <c r="BJ54"/>
    </row>
    <row r="55" spans="1:62" x14ac:dyDescent="0.45">
      <c r="A55" t="s">
        <v>488</v>
      </c>
      <c r="B55" t="s">
        <v>291</v>
      </c>
      <c r="C55" t="s">
        <v>81</v>
      </c>
      <c r="D55" t="s">
        <v>80</v>
      </c>
      <c r="E55" t="s">
        <v>81</v>
      </c>
      <c r="F55" t="s">
        <v>80</v>
      </c>
      <c r="G55" t="s">
        <v>489</v>
      </c>
      <c r="H55" t="s">
        <v>470</v>
      </c>
      <c r="K55" t="str">
        <f>The_Open[[#This Row],[Name]]</f>
        <v>Joseph Bramlett</v>
      </c>
      <c r="L55">
        <f>IF(The_Open[[#This Row],[Cut]]="CUT", "CUT", The_Open[[#This Row],[Round 1]]+The_Open[[#This Row],[Round 2]]+The_Open[[#This Row],[Round 3]]+The_Open[[#This Row],[Round 4]])</f>
        <v>274</v>
      </c>
      <c r="M55" t="str">
        <f>IF(The_Open[[#This Row],[Total]]="MC", "CUT", "")</f>
        <v/>
      </c>
      <c r="BJ55"/>
    </row>
    <row r="56" spans="1:62" x14ac:dyDescent="0.45">
      <c r="A56" t="s">
        <v>488</v>
      </c>
      <c r="B56" t="s">
        <v>448</v>
      </c>
      <c r="C56" t="s">
        <v>79</v>
      </c>
      <c r="D56" t="s">
        <v>81</v>
      </c>
      <c r="E56" t="s">
        <v>83</v>
      </c>
      <c r="F56" t="s">
        <v>81</v>
      </c>
      <c r="G56" t="s">
        <v>489</v>
      </c>
      <c r="H56" t="s">
        <v>470</v>
      </c>
      <c r="K56" t="str">
        <f>The_Open[[#This Row],[Name]]</f>
        <v>M.J. Daffue</v>
      </c>
      <c r="L56">
        <f>IF(The_Open[[#This Row],[Cut]]="CUT", "CUT", The_Open[[#This Row],[Round 1]]+The_Open[[#This Row],[Round 2]]+The_Open[[#This Row],[Round 3]]+The_Open[[#This Row],[Round 4]])</f>
        <v>274</v>
      </c>
      <c r="M56" t="str">
        <f>IF(The_Open[[#This Row],[Total]]="MC", "CUT", "")</f>
        <v/>
      </c>
      <c r="BJ56"/>
    </row>
    <row r="57" spans="1:62" x14ac:dyDescent="0.45">
      <c r="A57" t="s">
        <v>488</v>
      </c>
      <c r="B57" t="s">
        <v>301</v>
      </c>
      <c r="C57" t="s">
        <v>82</v>
      </c>
      <c r="D57" t="s">
        <v>79</v>
      </c>
      <c r="E57" t="s">
        <v>84</v>
      </c>
      <c r="F57" t="s">
        <v>83</v>
      </c>
      <c r="G57" t="s">
        <v>489</v>
      </c>
      <c r="H57" t="s">
        <v>470</v>
      </c>
      <c r="K57" t="str">
        <f>The_Open[[#This Row],[Name]]</f>
        <v>Keita Nakajima</v>
      </c>
      <c r="L57">
        <f>IF(The_Open[[#This Row],[Cut]]="CUT", "CUT", The_Open[[#This Row],[Round 1]]+The_Open[[#This Row],[Round 2]]+The_Open[[#This Row],[Round 3]]+The_Open[[#This Row],[Round 4]])</f>
        <v>274</v>
      </c>
      <c r="M57" t="str">
        <f>IF(The_Open[[#This Row],[Total]]="MC", "CUT", "")</f>
        <v/>
      </c>
      <c r="BJ57"/>
    </row>
    <row r="58" spans="1:62" x14ac:dyDescent="0.45">
      <c r="A58" t="s">
        <v>488</v>
      </c>
      <c r="B58" t="s">
        <v>343</v>
      </c>
      <c r="C58" t="s">
        <v>81</v>
      </c>
      <c r="D58" t="s">
        <v>82</v>
      </c>
      <c r="E58" t="s">
        <v>85</v>
      </c>
      <c r="F58" t="s">
        <v>78</v>
      </c>
      <c r="G58" t="s">
        <v>489</v>
      </c>
      <c r="H58" t="s">
        <v>470</v>
      </c>
      <c r="K58" t="str">
        <f>The_Open[[#This Row],[Name]]</f>
        <v>Chad Ramey</v>
      </c>
      <c r="L58">
        <f>IF(The_Open[[#This Row],[Cut]]="CUT", "CUT", The_Open[[#This Row],[Round 1]]+The_Open[[#This Row],[Round 2]]+The_Open[[#This Row],[Round 3]]+The_Open[[#This Row],[Round 4]])</f>
        <v>274</v>
      </c>
      <c r="M58" t="str">
        <f>IF(The_Open[[#This Row],[Total]]="MC", "CUT", "")</f>
        <v/>
      </c>
      <c r="BJ58"/>
    </row>
    <row r="59" spans="1:62" x14ac:dyDescent="0.45">
      <c r="A59" t="s">
        <v>488</v>
      </c>
      <c r="B59" t="s">
        <v>287</v>
      </c>
      <c r="C59" t="s">
        <v>80</v>
      </c>
      <c r="D59" t="s">
        <v>81</v>
      </c>
      <c r="E59" t="s">
        <v>82</v>
      </c>
      <c r="F59" t="s">
        <v>79</v>
      </c>
      <c r="G59" t="s">
        <v>489</v>
      </c>
      <c r="H59" t="s">
        <v>470</v>
      </c>
      <c r="K59" t="str">
        <f>The_Open[[#This Row],[Name]]</f>
        <v>Davis Thompson</v>
      </c>
      <c r="L59">
        <f>IF(The_Open[[#This Row],[Cut]]="CUT", "CUT", The_Open[[#This Row],[Round 1]]+The_Open[[#This Row],[Round 2]]+The_Open[[#This Row],[Round 3]]+The_Open[[#This Row],[Round 4]])</f>
        <v>274</v>
      </c>
      <c r="M59" t="str">
        <f>IF(The_Open[[#This Row],[Total]]="MC", "CUT", "")</f>
        <v/>
      </c>
      <c r="BJ59"/>
    </row>
    <row r="60" spans="1:62" x14ac:dyDescent="0.45">
      <c r="A60" t="s">
        <v>488</v>
      </c>
      <c r="B60" t="s">
        <v>341</v>
      </c>
      <c r="C60" t="s">
        <v>82</v>
      </c>
      <c r="D60" t="s">
        <v>84</v>
      </c>
      <c r="E60" t="s">
        <v>79</v>
      </c>
      <c r="F60" t="s">
        <v>83</v>
      </c>
      <c r="G60" t="s">
        <v>489</v>
      </c>
      <c r="H60" t="s">
        <v>470</v>
      </c>
      <c r="K60" t="str">
        <f>The_Open[[#This Row],[Name]]</f>
        <v>Kevin Tway</v>
      </c>
      <c r="L60">
        <f>IF(The_Open[[#This Row],[Cut]]="CUT", "CUT", The_Open[[#This Row],[Round 1]]+The_Open[[#This Row],[Round 2]]+The_Open[[#This Row],[Round 3]]+The_Open[[#This Row],[Round 4]])</f>
        <v>274</v>
      </c>
      <c r="M60" t="str">
        <f>IF(The_Open[[#This Row],[Total]]="MC", "CUT", "")</f>
        <v/>
      </c>
      <c r="BJ60"/>
    </row>
    <row r="61" spans="1:62" x14ac:dyDescent="0.45">
      <c r="A61" t="s">
        <v>488</v>
      </c>
      <c r="B61" t="s">
        <v>375</v>
      </c>
      <c r="C61" t="s">
        <v>84</v>
      </c>
      <c r="D61" t="s">
        <v>81</v>
      </c>
      <c r="E61" t="s">
        <v>85</v>
      </c>
      <c r="F61" t="s">
        <v>81</v>
      </c>
      <c r="G61" t="s">
        <v>489</v>
      </c>
      <c r="H61" t="s">
        <v>470</v>
      </c>
      <c r="K61" t="str">
        <f>The_Open[[#This Row],[Name]]</f>
        <v>Joseph Winslow</v>
      </c>
      <c r="L61">
        <f>IF(The_Open[[#This Row],[Cut]]="CUT", "CUT", The_Open[[#This Row],[Round 1]]+The_Open[[#This Row],[Round 2]]+The_Open[[#This Row],[Round 3]]+The_Open[[#This Row],[Round 4]])</f>
        <v>274</v>
      </c>
      <c r="M61" t="str">
        <f>IF(The_Open[[#This Row],[Total]]="MC", "CUT", "")</f>
        <v/>
      </c>
      <c r="BJ61"/>
    </row>
    <row r="62" spans="1:62" x14ac:dyDescent="0.45">
      <c r="A62" t="s">
        <v>490</v>
      </c>
      <c r="B62" t="s">
        <v>328</v>
      </c>
      <c r="C62" t="s">
        <v>80</v>
      </c>
      <c r="D62" t="s">
        <v>79</v>
      </c>
      <c r="E62" t="s">
        <v>80</v>
      </c>
      <c r="F62" t="s">
        <v>82</v>
      </c>
      <c r="G62" t="s">
        <v>491</v>
      </c>
      <c r="H62" t="s">
        <v>470</v>
      </c>
      <c r="K62" t="str">
        <f>The_Open[[#This Row],[Name]]</f>
        <v>Eric Cole</v>
      </c>
      <c r="L62">
        <f>IF(The_Open[[#This Row],[Cut]]="CUT", "CUT", The_Open[[#This Row],[Round 1]]+The_Open[[#This Row],[Round 2]]+The_Open[[#This Row],[Round 3]]+The_Open[[#This Row],[Round 4]])</f>
        <v>275</v>
      </c>
      <c r="M62" t="str">
        <f>IF(The_Open[[#This Row],[Total]]="MC", "CUT", "")</f>
        <v/>
      </c>
      <c r="BJ62"/>
    </row>
    <row r="63" spans="1:62" x14ac:dyDescent="0.45">
      <c r="A63" t="s">
        <v>490</v>
      </c>
      <c r="B63" t="s">
        <v>311</v>
      </c>
      <c r="C63" t="s">
        <v>83</v>
      </c>
      <c r="D63" t="s">
        <v>84</v>
      </c>
      <c r="E63" t="s">
        <v>84</v>
      </c>
      <c r="F63" t="s">
        <v>85</v>
      </c>
      <c r="G63" t="s">
        <v>491</v>
      </c>
      <c r="H63" t="s">
        <v>470</v>
      </c>
      <c r="K63" t="str">
        <f>The_Open[[#This Row],[Name]]</f>
        <v>Cole Hammer</v>
      </c>
      <c r="L63">
        <f>IF(The_Open[[#This Row],[Cut]]="CUT", "CUT", The_Open[[#This Row],[Round 1]]+The_Open[[#This Row],[Round 2]]+The_Open[[#This Row],[Round 3]]+The_Open[[#This Row],[Round 4]])</f>
        <v>275</v>
      </c>
      <c r="M63" t="str">
        <f>IF(The_Open[[#This Row],[Total]]="MC", "CUT", "")</f>
        <v/>
      </c>
      <c r="BJ63"/>
    </row>
    <row r="64" spans="1:62" x14ac:dyDescent="0.45">
      <c r="A64" t="s">
        <v>490</v>
      </c>
      <c r="B64" t="s">
        <v>450</v>
      </c>
      <c r="C64" t="s">
        <v>80</v>
      </c>
      <c r="D64" t="s">
        <v>81</v>
      </c>
      <c r="E64" t="s">
        <v>79</v>
      </c>
      <c r="F64" t="s">
        <v>83</v>
      </c>
      <c r="G64" t="s">
        <v>491</v>
      </c>
      <c r="H64" t="s">
        <v>470</v>
      </c>
      <c r="K64" t="str">
        <f>The_Open[[#This Row],[Name]]</f>
        <v>Kelly Kraft</v>
      </c>
      <c r="L64">
        <f>IF(The_Open[[#This Row],[Cut]]="CUT", "CUT", The_Open[[#This Row],[Round 1]]+The_Open[[#This Row],[Round 2]]+The_Open[[#This Row],[Round 3]]+The_Open[[#This Row],[Round 4]])</f>
        <v>275</v>
      </c>
      <c r="M64" t="str">
        <f>IF(The_Open[[#This Row],[Total]]="MC", "CUT", "")</f>
        <v/>
      </c>
      <c r="BJ64"/>
    </row>
    <row r="65" spans="1:62" x14ac:dyDescent="0.45">
      <c r="A65" t="s">
        <v>490</v>
      </c>
      <c r="B65" t="s">
        <v>271</v>
      </c>
      <c r="C65" t="s">
        <v>79</v>
      </c>
      <c r="D65" t="s">
        <v>83</v>
      </c>
      <c r="E65" t="s">
        <v>81</v>
      </c>
      <c r="F65" t="s">
        <v>80</v>
      </c>
      <c r="G65" t="s">
        <v>491</v>
      </c>
      <c r="H65" t="s">
        <v>470</v>
      </c>
      <c r="K65" t="str">
        <f>The_Open[[#This Row],[Name]]</f>
        <v>Aaron Rai</v>
      </c>
      <c r="L65">
        <f>IF(The_Open[[#This Row],[Cut]]="CUT", "CUT", The_Open[[#This Row],[Round 1]]+The_Open[[#This Row],[Round 2]]+The_Open[[#This Row],[Round 3]]+The_Open[[#This Row],[Round 4]])</f>
        <v>275</v>
      </c>
      <c r="M65" t="str">
        <f>IF(The_Open[[#This Row],[Total]]="MC", "CUT", "")</f>
        <v/>
      </c>
      <c r="BJ65"/>
    </row>
    <row r="66" spans="1:62" x14ac:dyDescent="0.45">
      <c r="A66" t="s">
        <v>462</v>
      </c>
      <c r="B66" t="s">
        <v>278</v>
      </c>
      <c r="C66" t="s">
        <v>81</v>
      </c>
      <c r="D66" t="s">
        <v>82</v>
      </c>
      <c r="E66" t="s">
        <v>80</v>
      </c>
      <c r="F66" t="s">
        <v>80</v>
      </c>
      <c r="G66" t="s">
        <v>492</v>
      </c>
      <c r="H66" t="s">
        <v>470</v>
      </c>
      <c r="K66" t="str">
        <f>The_Open[[#This Row],[Name]]</f>
        <v>Troy Merritt</v>
      </c>
      <c r="L66">
        <f>IF(The_Open[[#This Row],[Cut]]="CUT", "CUT", The_Open[[#This Row],[Round 1]]+The_Open[[#This Row],[Round 2]]+The_Open[[#This Row],[Round 3]]+The_Open[[#This Row],[Round 4]])</f>
        <v>276</v>
      </c>
      <c r="M66" t="str">
        <f>IF(The_Open[[#This Row],[Total]]="MC", "CUT", "")</f>
        <v/>
      </c>
      <c r="BJ66"/>
    </row>
    <row r="67" spans="1:62" x14ac:dyDescent="0.45">
      <c r="A67" t="s">
        <v>462</v>
      </c>
      <c r="B67" t="s">
        <v>308</v>
      </c>
      <c r="C67" t="s">
        <v>83</v>
      </c>
      <c r="D67" t="s">
        <v>77</v>
      </c>
      <c r="E67" t="s">
        <v>81</v>
      </c>
      <c r="F67" t="s">
        <v>85</v>
      </c>
      <c r="G67" t="s">
        <v>492</v>
      </c>
      <c r="H67" t="s">
        <v>470</v>
      </c>
      <c r="K67" t="str">
        <f>The_Open[[#This Row],[Name]]</f>
        <v>Brian Stuard</v>
      </c>
      <c r="L67">
        <f>IF(The_Open[[#This Row],[Cut]]="CUT", "CUT", The_Open[[#This Row],[Round 1]]+The_Open[[#This Row],[Round 2]]+The_Open[[#This Row],[Round 3]]+The_Open[[#This Row],[Round 4]])</f>
        <v>276</v>
      </c>
      <c r="M67" t="str">
        <f>IF(The_Open[[#This Row],[Total]]="MC", "CUT", "")</f>
        <v/>
      </c>
      <c r="BJ67"/>
    </row>
    <row r="68" spans="1:62" x14ac:dyDescent="0.45">
      <c r="A68" t="s">
        <v>493</v>
      </c>
      <c r="B68" t="s">
        <v>363</v>
      </c>
      <c r="C68" t="s">
        <v>81</v>
      </c>
      <c r="D68" t="s">
        <v>81</v>
      </c>
      <c r="E68" t="s">
        <v>83</v>
      </c>
      <c r="F68" t="s">
        <v>82</v>
      </c>
      <c r="G68" t="s">
        <v>494</v>
      </c>
      <c r="H68" t="s">
        <v>470</v>
      </c>
      <c r="K68" t="str">
        <f>The_Open[[#This Row],[Name]]</f>
        <v>Anders Albertson</v>
      </c>
      <c r="L68">
        <f>IF(The_Open[[#This Row],[Cut]]="CUT", "CUT", The_Open[[#This Row],[Round 1]]+The_Open[[#This Row],[Round 2]]+The_Open[[#This Row],[Round 3]]+The_Open[[#This Row],[Round 4]])</f>
        <v>277</v>
      </c>
      <c r="M68" t="str">
        <f>IF(The_Open[[#This Row],[Total]]="MC", "CUT", "")</f>
        <v/>
      </c>
      <c r="BJ68"/>
    </row>
    <row r="69" spans="1:62" x14ac:dyDescent="0.45">
      <c r="A69" t="s">
        <v>493</v>
      </c>
      <c r="B69" t="s">
        <v>273</v>
      </c>
      <c r="C69" t="s">
        <v>80</v>
      </c>
      <c r="D69" t="s">
        <v>80</v>
      </c>
      <c r="E69" t="s">
        <v>81</v>
      </c>
      <c r="F69" t="s">
        <v>83</v>
      </c>
      <c r="G69" t="s">
        <v>494</v>
      </c>
      <c r="H69" t="s">
        <v>470</v>
      </c>
      <c r="K69" t="str">
        <f>The_Open[[#This Row],[Name]]</f>
        <v>Russell Knox</v>
      </c>
      <c r="L69">
        <f>IF(The_Open[[#This Row],[Cut]]="CUT", "CUT", The_Open[[#This Row],[Round 1]]+The_Open[[#This Row],[Round 2]]+The_Open[[#This Row],[Round 3]]+The_Open[[#This Row],[Round 4]])</f>
        <v>277</v>
      </c>
      <c r="M69" t="str">
        <f>IF(The_Open[[#This Row],[Total]]="MC", "CUT", "")</f>
        <v/>
      </c>
      <c r="BJ69"/>
    </row>
    <row r="70" spans="1:62" x14ac:dyDescent="0.45">
      <c r="A70" t="s">
        <v>493</v>
      </c>
      <c r="B70" t="s">
        <v>286</v>
      </c>
      <c r="C70" t="s">
        <v>82</v>
      </c>
      <c r="D70" t="s">
        <v>81</v>
      </c>
      <c r="E70" t="s">
        <v>83</v>
      </c>
      <c r="F70" t="s">
        <v>81</v>
      </c>
      <c r="G70" t="s">
        <v>494</v>
      </c>
      <c r="H70" t="s">
        <v>470</v>
      </c>
      <c r="K70" t="str">
        <f>The_Open[[#This Row],[Name]]</f>
        <v>Adam Schenk</v>
      </c>
      <c r="L70">
        <f>IF(The_Open[[#This Row],[Cut]]="CUT", "CUT", The_Open[[#This Row],[Round 1]]+The_Open[[#This Row],[Round 2]]+The_Open[[#This Row],[Round 3]]+The_Open[[#This Row],[Round 4]])</f>
        <v>277</v>
      </c>
      <c r="M70" t="str">
        <f>IF(The_Open[[#This Row],[Total]]="MC", "CUT", "")</f>
        <v/>
      </c>
      <c r="BJ70"/>
    </row>
    <row r="71" spans="1:62" x14ac:dyDescent="0.45">
      <c r="A71" t="s">
        <v>493</v>
      </c>
      <c r="B71" t="s">
        <v>325</v>
      </c>
      <c r="C71" t="s">
        <v>83</v>
      </c>
      <c r="D71" t="s">
        <v>84</v>
      </c>
      <c r="E71" t="s">
        <v>79</v>
      </c>
      <c r="F71" t="s">
        <v>86</v>
      </c>
      <c r="G71" t="s">
        <v>494</v>
      </c>
      <c r="H71" t="s">
        <v>470</v>
      </c>
      <c r="K71" t="str">
        <f>The_Open[[#This Row],[Name]]</f>
        <v>Taiga Semikawa</v>
      </c>
      <c r="L71">
        <f>IF(The_Open[[#This Row],[Cut]]="CUT", "CUT", The_Open[[#This Row],[Round 1]]+The_Open[[#This Row],[Round 2]]+The_Open[[#This Row],[Round 3]]+The_Open[[#This Row],[Round 4]])</f>
        <v>277</v>
      </c>
      <c r="M71" t="str">
        <f>IF(The_Open[[#This Row],[Total]]="MC", "CUT", "")</f>
        <v/>
      </c>
      <c r="BJ71"/>
    </row>
    <row r="72" spans="1:62" x14ac:dyDescent="0.45">
      <c r="A72" t="s">
        <v>493</v>
      </c>
      <c r="B72" t="s">
        <v>319</v>
      </c>
      <c r="C72" t="s">
        <v>84</v>
      </c>
      <c r="D72" t="s">
        <v>85</v>
      </c>
      <c r="E72" t="s">
        <v>85</v>
      </c>
      <c r="F72" t="s">
        <v>79</v>
      </c>
      <c r="G72" t="s">
        <v>494</v>
      </c>
      <c r="H72" t="s">
        <v>470</v>
      </c>
      <c r="K72" t="str">
        <f>The_Open[[#This Row],[Name]]</f>
        <v>Austin Smotherman</v>
      </c>
      <c r="L72">
        <f>IF(The_Open[[#This Row],[Cut]]="CUT", "CUT", The_Open[[#This Row],[Round 1]]+The_Open[[#This Row],[Round 2]]+The_Open[[#This Row],[Round 3]]+The_Open[[#This Row],[Round 4]])</f>
        <v>277</v>
      </c>
      <c r="M72" t="str">
        <f>IF(The_Open[[#This Row],[Total]]="MC", "CUT", "")</f>
        <v/>
      </c>
      <c r="BJ72"/>
    </row>
    <row r="73" spans="1:62" x14ac:dyDescent="0.45">
      <c r="A73" t="s">
        <v>85</v>
      </c>
      <c r="B73" t="s">
        <v>300</v>
      </c>
      <c r="C73" t="s">
        <v>80</v>
      </c>
      <c r="D73" t="s">
        <v>80</v>
      </c>
      <c r="E73" t="s">
        <v>80</v>
      </c>
      <c r="F73" t="s">
        <v>83</v>
      </c>
      <c r="G73" t="s">
        <v>495</v>
      </c>
      <c r="H73" t="s">
        <v>470</v>
      </c>
      <c r="K73" t="str">
        <f>The_Open[[#This Row],[Name]]</f>
        <v>Kazuki Higa</v>
      </c>
      <c r="L73">
        <f>IF(The_Open[[#This Row],[Cut]]="CUT", "CUT", The_Open[[#This Row],[Round 1]]+The_Open[[#This Row],[Round 2]]+The_Open[[#This Row],[Round 3]]+The_Open[[#This Row],[Round 4]])</f>
        <v>278</v>
      </c>
      <c r="M73" t="str">
        <f>IF(The_Open[[#This Row],[Total]]="MC", "CUT", "")</f>
        <v/>
      </c>
      <c r="BJ73"/>
    </row>
    <row r="74" spans="1:62" x14ac:dyDescent="0.45">
      <c r="A74" t="s">
        <v>463</v>
      </c>
      <c r="B74" t="s">
        <v>106</v>
      </c>
      <c r="C74" t="s">
        <v>77</v>
      </c>
      <c r="D74" t="s">
        <v>82</v>
      </c>
      <c r="E74" t="s">
        <v>85</v>
      </c>
      <c r="F74" t="s">
        <v>85</v>
      </c>
      <c r="G74" t="s">
        <v>496</v>
      </c>
      <c r="H74" t="s">
        <v>470</v>
      </c>
      <c r="K74" t="str">
        <f>The_Open[[#This Row],[Name]]</f>
        <v>Harris English</v>
      </c>
      <c r="L74">
        <f>IF(The_Open[[#This Row],[Cut]]="CUT", "CUT", The_Open[[#This Row],[Round 1]]+The_Open[[#This Row],[Round 2]]+The_Open[[#This Row],[Round 3]]+The_Open[[#This Row],[Round 4]])</f>
        <v>279</v>
      </c>
      <c r="M74" t="str">
        <f>IF(The_Open[[#This Row],[Total]]="MC", "CUT", "")</f>
        <v/>
      </c>
      <c r="BJ74"/>
    </row>
    <row r="75" spans="1:62" x14ac:dyDescent="0.45">
      <c r="A75" t="s">
        <v>463</v>
      </c>
      <c r="B75" t="s">
        <v>262</v>
      </c>
      <c r="C75" t="s">
        <v>80</v>
      </c>
      <c r="D75" t="s">
        <v>80</v>
      </c>
      <c r="E75" t="s">
        <v>83</v>
      </c>
      <c r="F75" t="s">
        <v>82</v>
      </c>
      <c r="G75" t="s">
        <v>496</v>
      </c>
      <c r="H75" t="s">
        <v>470</v>
      </c>
      <c r="K75" t="str">
        <f>The_Open[[#This Row],[Name]]</f>
        <v>Kurt Kitayama</v>
      </c>
      <c r="L75">
        <f>IF(The_Open[[#This Row],[Cut]]="CUT", "CUT", The_Open[[#This Row],[Round 1]]+The_Open[[#This Row],[Round 2]]+The_Open[[#This Row],[Round 3]]+The_Open[[#This Row],[Round 4]])</f>
        <v>279</v>
      </c>
      <c r="M75" t="str">
        <f>IF(The_Open[[#This Row],[Total]]="MC", "CUT", "")</f>
        <v/>
      </c>
      <c r="BJ75"/>
    </row>
    <row r="76" spans="1:62" x14ac:dyDescent="0.45">
      <c r="A76" t="s">
        <v>90</v>
      </c>
      <c r="B76" t="s">
        <v>297</v>
      </c>
      <c r="C76" t="s">
        <v>80</v>
      </c>
      <c r="D76" t="s">
        <v>80</v>
      </c>
      <c r="E76" t="s">
        <v>85</v>
      </c>
      <c r="F76" t="s">
        <v>83</v>
      </c>
      <c r="G76" t="s">
        <v>497</v>
      </c>
      <c r="H76" t="s">
        <v>470</v>
      </c>
      <c r="K76" t="str">
        <f>The_Open[[#This Row],[Name]]</f>
        <v>Zach Johnson</v>
      </c>
      <c r="L76">
        <f>IF(The_Open[[#This Row],[Cut]]="CUT", "CUT", The_Open[[#This Row],[Round 1]]+The_Open[[#This Row],[Round 2]]+The_Open[[#This Row],[Round 3]]+The_Open[[#This Row],[Round 4]])</f>
        <v>281</v>
      </c>
      <c r="M76" t="str">
        <f>IF(The_Open[[#This Row],[Total]]="MC", "CUT", "")</f>
        <v/>
      </c>
      <c r="BJ76"/>
    </row>
    <row r="77" spans="1:62" x14ac:dyDescent="0.45">
      <c r="A77" t="s">
        <v>39</v>
      </c>
      <c r="B77" t="s">
        <v>43</v>
      </c>
      <c r="C77" t="s">
        <v>79</v>
      </c>
      <c r="D77" t="s">
        <v>82</v>
      </c>
      <c r="E77" t="s">
        <v>85</v>
      </c>
      <c r="F77" t="s">
        <v>86</v>
      </c>
      <c r="G77" t="s">
        <v>498</v>
      </c>
      <c r="H77" t="s">
        <v>470</v>
      </c>
      <c r="K77" t="str">
        <f>The_Open[[#This Row],[Name]]</f>
        <v>Patton Kizzire</v>
      </c>
      <c r="L77">
        <f>IF(The_Open[[#This Row],[Cut]]="CUT", "CUT", The_Open[[#This Row],[Round 1]]+The_Open[[#This Row],[Round 2]]+The_Open[[#This Row],[Round 3]]+The_Open[[#This Row],[Round 4]])</f>
        <v>282</v>
      </c>
      <c r="M77" t="str">
        <f>IF(The_Open[[#This Row],[Total]]="MC", "CUT", "")</f>
        <v/>
      </c>
      <c r="BJ77"/>
    </row>
    <row r="78" spans="1:62" x14ac:dyDescent="0.45">
      <c r="A78" t="s">
        <v>464</v>
      </c>
      <c r="B78" t="s">
        <v>288</v>
      </c>
      <c r="C78" t="s">
        <v>82</v>
      </c>
      <c r="D78" t="s">
        <v>80</v>
      </c>
      <c r="E78" t="s">
        <v>464</v>
      </c>
      <c r="F78" t="s">
        <v>464</v>
      </c>
      <c r="G78" t="s">
        <v>465</v>
      </c>
      <c r="H78" t="s">
        <v>464</v>
      </c>
      <c r="K78" t="str">
        <f>The_Open[[#This Row],[Name]]</f>
        <v>Ryan Armour</v>
      </c>
      <c r="L78" t="str">
        <f>IF(The_Open[[#This Row],[Cut]]="CUT", "CUT", The_Open[[#This Row],[Round 1]]+The_Open[[#This Row],[Round 2]]+The_Open[[#This Row],[Round 3]]+The_Open[[#This Row],[Round 4]])</f>
        <v>CUT</v>
      </c>
      <c r="M78" t="str">
        <f>IF(The_Open[[#This Row],[Total]]="MC", "CUT", "")</f>
        <v>CUT</v>
      </c>
      <c r="BJ78"/>
    </row>
    <row r="79" spans="1:62" x14ac:dyDescent="0.45">
      <c r="A79" t="s">
        <v>464</v>
      </c>
      <c r="B79" t="s">
        <v>361</v>
      </c>
      <c r="C79" t="s">
        <v>84</v>
      </c>
      <c r="D79" t="s">
        <v>86</v>
      </c>
      <c r="E79" t="s">
        <v>464</v>
      </c>
      <c r="F79" t="s">
        <v>464</v>
      </c>
      <c r="G79" t="s">
        <v>465</v>
      </c>
      <c r="H79" t="s">
        <v>464</v>
      </c>
      <c r="K79" t="str">
        <f>The_Open[[#This Row],[Name]]</f>
        <v>K.J. Choi</v>
      </c>
      <c r="L79" t="str">
        <f>IF(The_Open[[#This Row],[Cut]]="CUT", "CUT", The_Open[[#This Row],[Round 1]]+The_Open[[#This Row],[Round 2]]+The_Open[[#This Row],[Round 3]]+The_Open[[#This Row],[Round 4]])</f>
        <v>CUT</v>
      </c>
      <c r="M79" t="str">
        <f>IF(The_Open[[#This Row],[Total]]="MC", "CUT", "")</f>
        <v>CUT</v>
      </c>
      <c r="BJ79"/>
    </row>
    <row r="80" spans="1:62" x14ac:dyDescent="0.45">
      <c r="A80" t="s">
        <v>464</v>
      </c>
      <c r="B80" t="s">
        <v>354</v>
      </c>
      <c r="C80" t="s">
        <v>82</v>
      </c>
      <c r="D80" t="s">
        <v>80</v>
      </c>
      <c r="E80" t="s">
        <v>464</v>
      </c>
      <c r="F80" t="s">
        <v>464</v>
      </c>
      <c r="G80" t="s">
        <v>465</v>
      </c>
      <c r="H80" t="s">
        <v>464</v>
      </c>
      <c r="K80" t="str">
        <f>The_Open[[#This Row],[Name]]</f>
        <v>Trevor Cone</v>
      </c>
      <c r="L80" t="str">
        <f>IF(The_Open[[#This Row],[Cut]]="CUT", "CUT", The_Open[[#This Row],[Round 1]]+The_Open[[#This Row],[Round 2]]+The_Open[[#This Row],[Round 3]]+The_Open[[#This Row],[Round 4]])</f>
        <v>CUT</v>
      </c>
      <c r="M80" t="str">
        <f>IF(The_Open[[#This Row],[Total]]="MC", "CUT", "")</f>
        <v>CUT</v>
      </c>
      <c r="BJ80"/>
    </row>
    <row r="81" spans="1:62" x14ac:dyDescent="0.45">
      <c r="A81" t="s">
        <v>464</v>
      </c>
      <c r="B81" t="s">
        <v>75</v>
      </c>
      <c r="C81" t="s">
        <v>85</v>
      </c>
      <c r="D81" t="s">
        <v>79</v>
      </c>
      <c r="E81" t="s">
        <v>464</v>
      </c>
      <c r="F81" t="s">
        <v>464</v>
      </c>
      <c r="G81" t="s">
        <v>465</v>
      </c>
      <c r="H81" t="s">
        <v>464</v>
      </c>
      <c r="K81" t="str">
        <f>The_Open[[#This Row],[Name]]</f>
        <v>Jim Herman</v>
      </c>
      <c r="L81" t="str">
        <f>IF(The_Open[[#This Row],[Cut]]="CUT", "CUT", The_Open[[#This Row],[Round 1]]+The_Open[[#This Row],[Round 2]]+The_Open[[#This Row],[Round 3]]+The_Open[[#This Row],[Round 4]])</f>
        <v>CUT</v>
      </c>
      <c r="M81" t="str">
        <f>IF(The_Open[[#This Row],[Total]]="MC", "CUT", "")</f>
        <v>CUT</v>
      </c>
      <c r="BJ81"/>
    </row>
    <row r="82" spans="1:62" x14ac:dyDescent="0.45">
      <c r="A82" t="s">
        <v>464</v>
      </c>
      <c r="B82" t="s">
        <v>447</v>
      </c>
      <c r="C82" t="s">
        <v>79</v>
      </c>
      <c r="D82" t="s">
        <v>85</v>
      </c>
      <c r="E82" t="s">
        <v>464</v>
      </c>
      <c r="F82" t="s">
        <v>464</v>
      </c>
      <c r="G82" t="s">
        <v>465</v>
      </c>
      <c r="H82" t="s">
        <v>464</v>
      </c>
      <c r="K82" t="str">
        <f>The_Open[[#This Row],[Name]]</f>
        <v>Kramer Hickok</v>
      </c>
      <c r="L82" t="str">
        <f>IF(The_Open[[#This Row],[Cut]]="CUT", "CUT", The_Open[[#This Row],[Round 1]]+The_Open[[#This Row],[Round 2]]+The_Open[[#This Row],[Round 3]]+The_Open[[#This Row],[Round 4]])</f>
        <v>CUT</v>
      </c>
      <c r="M82" t="str">
        <f>IF(The_Open[[#This Row],[Total]]="MC", "CUT", "")</f>
        <v>CUT</v>
      </c>
      <c r="BJ82"/>
    </row>
    <row r="83" spans="1:62" x14ac:dyDescent="0.45">
      <c r="A83" t="s">
        <v>464</v>
      </c>
      <c r="B83" t="s">
        <v>285</v>
      </c>
      <c r="C83" t="s">
        <v>81</v>
      </c>
      <c r="D83" t="s">
        <v>83</v>
      </c>
      <c r="E83" t="s">
        <v>464</v>
      </c>
      <c r="F83" t="s">
        <v>464</v>
      </c>
      <c r="G83" t="s">
        <v>465</v>
      </c>
      <c r="H83" t="s">
        <v>464</v>
      </c>
      <c r="K83" t="str">
        <f>The_Open[[#This Row],[Name]]</f>
        <v>Mark Hubbard</v>
      </c>
      <c r="L83" t="str">
        <f>IF(The_Open[[#This Row],[Cut]]="CUT", "CUT", The_Open[[#This Row],[Round 1]]+The_Open[[#This Row],[Round 2]]+The_Open[[#This Row],[Round 3]]+The_Open[[#This Row],[Round 4]])</f>
        <v>CUT</v>
      </c>
      <c r="M83" t="str">
        <f>IF(The_Open[[#This Row],[Total]]="MC", "CUT", "")</f>
        <v>CUT</v>
      </c>
      <c r="BJ83"/>
    </row>
    <row r="84" spans="1:62" x14ac:dyDescent="0.45">
      <c r="A84" t="s">
        <v>464</v>
      </c>
      <c r="B84" t="s">
        <v>289</v>
      </c>
      <c r="C84" t="s">
        <v>83</v>
      </c>
      <c r="D84" t="s">
        <v>81</v>
      </c>
      <c r="E84" t="s">
        <v>464</v>
      </c>
      <c r="F84" t="s">
        <v>464</v>
      </c>
      <c r="G84" t="s">
        <v>465</v>
      </c>
      <c r="H84" t="s">
        <v>464</v>
      </c>
      <c r="K84" t="str">
        <f>The_Open[[#This Row],[Name]]</f>
        <v>Scott Piercy</v>
      </c>
      <c r="L84" t="str">
        <f>IF(The_Open[[#This Row],[Cut]]="CUT", "CUT", The_Open[[#This Row],[Round 1]]+The_Open[[#This Row],[Round 2]]+The_Open[[#This Row],[Round 3]]+The_Open[[#This Row],[Round 4]])</f>
        <v>CUT</v>
      </c>
      <c r="M84" t="str">
        <f>IF(The_Open[[#This Row],[Total]]="MC", "CUT", "")</f>
        <v>CUT</v>
      </c>
      <c r="BJ84"/>
    </row>
    <row r="85" spans="1:62" x14ac:dyDescent="0.45">
      <c r="A85" t="s">
        <v>464</v>
      </c>
      <c r="B85" t="s">
        <v>318</v>
      </c>
      <c r="C85" t="s">
        <v>77</v>
      </c>
      <c r="D85" t="s">
        <v>87</v>
      </c>
      <c r="E85" t="s">
        <v>464</v>
      </c>
      <c r="F85" t="s">
        <v>464</v>
      </c>
      <c r="G85" t="s">
        <v>465</v>
      </c>
      <c r="H85" t="s">
        <v>464</v>
      </c>
      <c r="K85" t="str">
        <f>The_Open[[#This Row],[Name]]</f>
        <v>Rory Sabbatini</v>
      </c>
      <c r="L85" t="str">
        <f>IF(The_Open[[#This Row],[Cut]]="CUT", "CUT", The_Open[[#This Row],[Round 1]]+The_Open[[#This Row],[Round 2]]+The_Open[[#This Row],[Round 3]]+The_Open[[#This Row],[Round 4]])</f>
        <v>CUT</v>
      </c>
      <c r="M85" t="str">
        <f>IF(The_Open[[#This Row],[Total]]="MC", "CUT", "")</f>
        <v>CUT</v>
      </c>
      <c r="BJ85"/>
    </row>
    <row r="86" spans="1:62" x14ac:dyDescent="0.45">
      <c r="A86" t="s">
        <v>464</v>
      </c>
      <c r="B86" t="s">
        <v>453</v>
      </c>
      <c r="C86" t="s">
        <v>85</v>
      </c>
      <c r="D86" t="s">
        <v>79</v>
      </c>
      <c r="E86" t="s">
        <v>464</v>
      </c>
      <c r="F86" t="s">
        <v>464</v>
      </c>
      <c r="G86" t="s">
        <v>465</v>
      </c>
      <c r="H86" t="s">
        <v>464</v>
      </c>
      <c r="K86" t="str">
        <f>The_Open[[#This Row],[Name]]</f>
        <v>Matthias Schmid</v>
      </c>
      <c r="L86" t="str">
        <f>IF(The_Open[[#This Row],[Cut]]="CUT", "CUT", The_Open[[#This Row],[Round 1]]+The_Open[[#This Row],[Round 2]]+The_Open[[#This Row],[Round 3]]+The_Open[[#This Row],[Round 4]])</f>
        <v>CUT</v>
      </c>
      <c r="M86" t="str">
        <f>IF(The_Open[[#This Row],[Total]]="MC", "CUT", "")</f>
        <v>CUT</v>
      </c>
      <c r="BJ86"/>
    </row>
    <row r="87" spans="1:62" x14ac:dyDescent="0.45">
      <c r="A87" t="s">
        <v>464</v>
      </c>
      <c r="B87" t="s">
        <v>91</v>
      </c>
      <c r="C87" t="s">
        <v>78</v>
      </c>
      <c r="D87" t="s">
        <v>90</v>
      </c>
      <c r="E87" t="s">
        <v>464</v>
      </c>
      <c r="F87" t="s">
        <v>464</v>
      </c>
      <c r="G87" t="s">
        <v>465</v>
      </c>
      <c r="H87" t="s">
        <v>464</v>
      </c>
      <c r="K87" t="str">
        <f>The_Open[[#This Row],[Name]]</f>
        <v>Jordan Spieth</v>
      </c>
      <c r="L87" t="str">
        <f>IF(The_Open[[#This Row],[Cut]]="CUT", "CUT", The_Open[[#This Row],[Round 1]]+The_Open[[#This Row],[Round 2]]+The_Open[[#This Row],[Round 3]]+The_Open[[#This Row],[Round 4]])</f>
        <v>CUT</v>
      </c>
      <c r="M87" t="str">
        <f>IF(The_Open[[#This Row],[Total]]="MC", "CUT", "")</f>
        <v>CUT</v>
      </c>
      <c r="BJ87"/>
    </row>
    <row r="88" spans="1:62" x14ac:dyDescent="0.45">
      <c r="A88" t="s">
        <v>464</v>
      </c>
      <c r="B88" t="s">
        <v>293</v>
      </c>
      <c r="C88" t="s">
        <v>80</v>
      </c>
      <c r="D88" t="s">
        <v>82</v>
      </c>
      <c r="E88" t="s">
        <v>464</v>
      </c>
      <c r="F88" t="s">
        <v>464</v>
      </c>
      <c r="G88" t="s">
        <v>465</v>
      </c>
      <c r="H88" t="s">
        <v>464</v>
      </c>
      <c r="K88" t="str">
        <f>The_Open[[#This Row],[Name]]</f>
        <v>Brandon Wu</v>
      </c>
      <c r="L88" t="str">
        <f>IF(The_Open[[#This Row],[Cut]]="CUT", "CUT", The_Open[[#This Row],[Round 1]]+The_Open[[#This Row],[Round 2]]+The_Open[[#This Row],[Round 3]]+The_Open[[#This Row],[Round 4]])</f>
        <v>CUT</v>
      </c>
      <c r="M88" t="str">
        <f>IF(The_Open[[#This Row],[Total]]="MC", "CUT", "")</f>
        <v>CUT</v>
      </c>
      <c r="BJ88"/>
    </row>
    <row r="89" spans="1:62" x14ac:dyDescent="0.45">
      <c r="A89" t="s">
        <v>464</v>
      </c>
      <c r="B89" t="s">
        <v>373</v>
      </c>
      <c r="C89" t="s">
        <v>82</v>
      </c>
      <c r="D89" t="s">
        <v>80</v>
      </c>
      <c r="E89" t="s">
        <v>464</v>
      </c>
      <c r="F89" t="s">
        <v>464</v>
      </c>
      <c r="G89" t="s">
        <v>465</v>
      </c>
      <c r="H89" t="s">
        <v>464</v>
      </c>
      <c r="K89" t="str">
        <f>The_Open[[#This Row],[Name]]</f>
        <v>Dylan Wu</v>
      </c>
      <c r="L89" t="str">
        <f>IF(The_Open[[#This Row],[Cut]]="CUT", "CUT", The_Open[[#This Row],[Round 1]]+The_Open[[#This Row],[Round 2]]+The_Open[[#This Row],[Round 3]]+The_Open[[#This Row],[Round 4]])</f>
        <v>CUT</v>
      </c>
      <c r="M89" t="str">
        <f>IF(The_Open[[#This Row],[Total]]="MC", "CUT", "")</f>
        <v>CUT</v>
      </c>
      <c r="BJ89"/>
    </row>
    <row r="90" spans="1:62" x14ac:dyDescent="0.45">
      <c r="A90" t="s">
        <v>464</v>
      </c>
      <c r="B90" t="s">
        <v>307</v>
      </c>
      <c r="C90" t="s">
        <v>86</v>
      </c>
      <c r="D90" t="s">
        <v>79</v>
      </c>
      <c r="E90" t="s">
        <v>464</v>
      </c>
      <c r="F90" t="s">
        <v>464</v>
      </c>
      <c r="G90" t="s">
        <v>465</v>
      </c>
      <c r="H90" t="s">
        <v>464</v>
      </c>
      <c r="K90" t="str">
        <f>The_Open[[#This Row],[Name]]</f>
        <v>Chesson Hadley</v>
      </c>
      <c r="L90" t="str">
        <f>IF(The_Open[[#This Row],[Cut]]="CUT", "CUT", The_Open[[#This Row],[Round 1]]+The_Open[[#This Row],[Round 2]]+The_Open[[#This Row],[Round 3]]+The_Open[[#This Row],[Round 4]])</f>
        <v>CUT</v>
      </c>
      <c r="M90" t="str">
        <f>IF(The_Open[[#This Row],[Total]]="MC", "CUT", "")</f>
        <v>CUT</v>
      </c>
      <c r="BJ90"/>
    </row>
    <row r="91" spans="1:62" x14ac:dyDescent="0.45">
      <c r="A91" t="s">
        <v>464</v>
      </c>
      <c r="B91" t="s">
        <v>337</v>
      </c>
      <c r="C91" t="s">
        <v>82</v>
      </c>
      <c r="D91" t="s">
        <v>82</v>
      </c>
      <c r="E91" t="s">
        <v>464</v>
      </c>
      <c r="F91" t="s">
        <v>464</v>
      </c>
      <c r="G91" t="s">
        <v>465</v>
      </c>
      <c r="H91" t="s">
        <v>464</v>
      </c>
      <c r="K91" t="str">
        <f>The_Open[[#This Row],[Name]]</f>
        <v>Jerry Kelly</v>
      </c>
      <c r="L91" t="str">
        <f>IF(The_Open[[#This Row],[Cut]]="CUT", "CUT", The_Open[[#This Row],[Round 1]]+The_Open[[#This Row],[Round 2]]+The_Open[[#This Row],[Round 3]]+The_Open[[#This Row],[Round 4]])</f>
        <v>CUT</v>
      </c>
      <c r="M91" t="str">
        <f>IF(The_Open[[#This Row],[Total]]="MC", "CUT", "")</f>
        <v>CUT</v>
      </c>
      <c r="BJ91"/>
    </row>
    <row r="92" spans="1:62" x14ac:dyDescent="0.45">
      <c r="A92" t="s">
        <v>464</v>
      </c>
      <c r="B92" t="s">
        <v>334</v>
      </c>
      <c r="C92" t="s">
        <v>82</v>
      </c>
      <c r="D92" t="s">
        <v>82</v>
      </c>
      <c r="E92" t="s">
        <v>464</v>
      </c>
      <c r="F92" t="s">
        <v>464</v>
      </c>
      <c r="G92" t="s">
        <v>465</v>
      </c>
      <c r="H92" t="s">
        <v>464</v>
      </c>
      <c r="K92" t="str">
        <f>The_Open[[#This Row],[Name]]</f>
        <v>Peter Malnati</v>
      </c>
      <c r="L92" t="str">
        <f>IF(The_Open[[#This Row],[Cut]]="CUT", "CUT", The_Open[[#This Row],[Round 1]]+The_Open[[#This Row],[Round 2]]+The_Open[[#This Row],[Round 3]]+The_Open[[#This Row],[Round 4]])</f>
        <v>CUT</v>
      </c>
      <c r="M92" t="str">
        <f>IF(The_Open[[#This Row],[Total]]="MC", "CUT", "")</f>
        <v>CUT</v>
      </c>
      <c r="BJ92"/>
    </row>
    <row r="93" spans="1:62" x14ac:dyDescent="0.45">
      <c r="A93" t="s">
        <v>464</v>
      </c>
      <c r="B93" t="s">
        <v>221</v>
      </c>
      <c r="C93" t="s">
        <v>87</v>
      </c>
      <c r="D93" t="s">
        <v>84</v>
      </c>
      <c r="E93" t="s">
        <v>464</v>
      </c>
      <c r="F93" t="s">
        <v>464</v>
      </c>
      <c r="G93" t="s">
        <v>465</v>
      </c>
      <c r="H93" t="s">
        <v>464</v>
      </c>
      <c r="K93" t="str">
        <f>The_Open[[#This Row],[Name]]</f>
        <v>Keith Mitchell</v>
      </c>
      <c r="L93" t="str">
        <f>IF(The_Open[[#This Row],[Cut]]="CUT", "CUT", The_Open[[#This Row],[Round 1]]+The_Open[[#This Row],[Round 2]]+The_Open[[#This Row],[Round 3]]+The_Open[[#This Row],[Round 4]])</f>
        <v>CUT</v>
      </c>
      <c r="M93" t="str">
        <f>IF(The_Open[[#This Row],[Total]]="MC", "CUT", "")</f>
        <v>CUT</v>
      </c>
      <c r="BJ93"/>
    </row>
    <row r="94" spans="1:62" x14ac:dyDescent="0.45">
      <c r="A94" t="s">
        <v>464</v>
      </c>
      <c r="B94" t="s">
        <v>290</v>
      </c>
      <c r="C94" t="s">
        <v>80</v>
      </c>
      <c r="D94" t="s">
        <v>83</v>
      </c>
      <c r="E94" t="s">
        <v>464</v>
      </c>
      <c r="F94" t="s">
        <v>464</v>
      </c>
      <c r="G94" t="s">
        <v>465</v>
      </c>
      <c r="H94" t="s">
        <v>464</v>
      </c>
      <c r="K94" t="str">
        <f>The_Open[[#This Row],[Name]]</f>
        <v>Sam Ryder</v>
      </c>
      <c r="L94" t="str">
        <f>IF(The_Open[[#This Row],[Cut]]="CUT", "CUT", The_Open[[#This Row],[Round 1]]+The_Open[[#This Row],[Round 2]]+The_Open[[#This Row],[Round 3]]+The_Open[[#This Row],[Round 4]])</f>
        <v>CUT</v>
      </c>
      <c r="M94" t="str">
        <f>IF(The_Open[[#This Row],[Total]]="MC", "CUT", "")</f>
        <v>CUT</v>
      </c>
      <c r="BJ94"/>
    </row>
    <row r="95" spans="1:62" x14ac:dyDescent="0.45">
      <c r="A95" t="s">
        <v>464</v>
      </c>
      <c r="B95" t="s">
        <v>263</v>
      </c>
      <c r="C95" t="s">
        <v>83</v>
      </c>
      <c r="D95" t="s">
        <v>80</v>
      </c>
      <c r="E95" t="s">
        <v>464</v>
      </c>
      <c r="F95" t="s">
        <v>464</v>
      </c>
      <c r="G95" t="s">
        <v>465</v>
      </c>
      <c r="H95" t="s">
        <v>464</v>
      </c>
      <c r="K95" t="str">
        <f>The_Open[[#This Row],[Name]]</f>
        <v>Alex Smalley</v>
      </c>
      <c r="L95" t="str">
        <f>IF(The_Open[[#This Row],[Cut]]="CUT", "CUT", The_Open[[#This Row],[Round 1]]+The_Open[[#This Row],[Round 2]]+The_Open[[#This Row],[Round 3]]+The_Open[[#This Row],[Round 4]])</f>
        <v>CUT</v>
      </c>
      <c r="M95" t="str">
        <f>IF(The_Open[[#This Row],[Total]]="MC", "CUT", "")</f>
        <v>CUT</v>
      </c>
      <c r="BJ95"/>
    </row>
    <row r="96" spans="1:62" x14ac:dyDescent="0.45">
      <c r="A96" t="s">
        <v>464</v>
      </c>
      <c r="B96" t="s">
        <v>355</v>
      </c>
      <c r="C96" t="s">
        <v>83</v>
      </c>
      <c r="D96" t="s">
        <v>80</v>
      </c>
      <c r="E96" t="s">
        <v>464</v>
      </c>
      <c r="F96" t="s">
        <v>464</v>
      </c>
      <c r="G96" t="s">
        <v>465</v>
      </c>
      <c r="H96" t="s">
        <v>464</v>
      </c>
      <c r="K96" t="str">
        <f>The_Open[[#This Row],[Name]]</f>
        <v>Kyle Stanley</v>
      </c>
      <c r="L96" t="str">
        <f>IF(The_Open[[#This Row],[Cut]]="CUT", "CUT", The_Open[[#This Row],[Round 1]]+The_Open[[#This Row],[Round 2]]+The_Open[[#This Row],[Round 3]]+The_Open[[#This Row],[Round 4]])</f>
        <v>CUT</v>
      </c>
      <c r="M96" t="str">
        <f>IF(The_Open[[#This Row],[Total]]="MC", "CUT", "")</f>
        <v>CUT</v>
      </c>
      <c r="BJ96"/>
    </row>
    <row r="97" spans="1:62" x14ac:dyDescent="0.45">
      <c r="A97" t="s">
        <v>464</v>
      </c>
      <c r="B97" t="s">
        <v>451</v>
      </c>
      <c r="C97" t="s">
        <v>83</v>
      </c>
      <c r="D97" t="s">
        <v>80</v>
      </c>
      <c r="E97" t="s">
        <v>464</v>
      </c>
      <c r="F97" t="s">
        <v>464</v>
      </c>
      <c r="G97" t="s">
        <v>465</v>
      </c>
      <c r="H97" t="s">
        <v>464</v>
      </c>
      <c r="K97" t="str">
        <f>The_Open[[#This Row],[Name]]</f>
        <v>Samuel Stevens</v>
      </c>
      <c r="L97" t="str">
        <f>IF(The_Open[[#This Row],[Cut]]="CUT", "CUT", The_Open[[#This Row],[Round 1]]+The_Open[[#This Row],[Round 2]]+The_Open[[#This Row],[Round 3]]+The_Open[[#This Row],[Round 4]])</f>
        <v>CUT</v>
      </c>
      <c r="M97" t="str">
        <f>IF(The_Open[[#This Row],[Total]]="MC", "CUT", "")</f>
        <v>CUT</v>
      </c>
      <c r="BJ97"/>
    </row>
    <row r="98" spans="1:62" x14ac:dyDescent="0.45">
      <c r="A98" t="s">
        <v>464</v>
      </c>
      <c r="B98" t="s">
        <v>309</v>
      </c>
      <c r="C98" t="s">
        <v>85</v>
      </c>
      <c r="D98" t="s">
        <v>80</v>
      </c>
      <c r="E98" t="s">
        <v>464</v>
      </c>
      <c r="F98" t="s">
        <v>464</v>
      </c>
      <c r="G98" t="s">
        <v>465</v>
      </c>
      <c r="H98" t="s">
        <v>464</v>
      </c>
      <c r="K98" t="str">
        <f>The_Open[[#This Row],[Name]]</f>
        <v>Erik Barnes</v>
      </c>
      <c r="L98" t="str">
        <f>IF(The_Open[[#This Row],[Cut]]="CUT", "CUT", The_Open[[#This Row],[Round 1]]+The_Open[[#This Row],[Round 2]]+The_Open[[#This Row],[Round 3]]+The_Open[[#This Row],[Round 4]])</f>
        <v>CUT</v>
      </c>
      <c r="M98" t="str">
        <f>IF(The_Open[[#This Row],[Total]]="MC", "CUT", "")</f>
        <v>CUT</v>
      </c>
      <c r="BJ98"/>
    </row>
    <row r="99" spans="1:62" x14ac:dyDescent="0.45">
      <c r="A99" t="s">
        <v>464</v>
      </c>
      <c r="B99" t="s">
        <v>212</v>
      </c>
      <c r="C99" t="s">
        <v>86</v>
      </c>
      <c r="D99" t="s">
        <v>81</v>
      </c>
      <c r="E99" t="s">
        <v>464</v>
      </c>
      <c r="F99" t="s">
        <v>464</v>
      </c>
      <c r="G99" t="s">
        <v>465</v>
      </c>
      <c r="H99" t="s">
        <v>464</v>
      </c>
      <c r="K99" t="str">
        <f>The_Open[[#This Row],[Name]]</f>
        <v>Lucas Glover</v>
      </c>
      <c r="L99" t="str">
        <f>IF(The_Open[[#This Row],[Cut]]="CUT", "CUT", The_Open[[#This Row],[Round 1]]+The_Open[[#This Row],[Round 2]]+The_Open[[#This Row],[Round 3]]+The_Open[[#This Row],[Round 4]])</f>
        <v>CUT</v>
      </c>
      <c r="M99" t="str">
        <f>IF(The_Open[[#This Row],[Total]]="MC", "CUT", "")</f>
        <v>CUT</v>
      </c>
      <c r="BJ99"/>
    </row>
    <row r="100" spans="1:62" x14ac:dyDescent="0.45">
      <c r="A100" t="s">
        <v>464</v>
      </c>
      <c r="B100" t="s">
        <v>357</v>
      </c>
      <c r="C100" t="s">
        <v>81</v>
      </c>
      <c r="D100" t="s">
        <v>86</v>
      </c>
      <c r="E100" t="s">
        <v>464</v>
      </c>
      <c r="F100" t="s">
        <v>464</v>
      </c>
      <c r="G100" t="s">
        <v>465</v>
      </c>
      <c r="H100" t="s">
        <v>464</v>
      </c>
      <c r="K100" t="str">
        <f>The_Open[[#This Row],[Name]]</f>
        <v>Tano Goya</v>
      </c>
      <c r="L100" t="str">
        <f>IF(The_Open[[#This Row],[Cut]]="CUT", "CUT", The_Open[[#This Row],[Round 1]]+The_Open[[#This Row],[Round 2]]+The_Open[[#This Row],[Round 3]]+The_Open[[#This Row],[Round 4]])</f>
        <v>CUT</v>
      </c>
      <c r="M100" t="str">
        <f>IF(The_Open[[#This Row],[Total]]="MC", "CUT", "")</f>
        <v>CUT</v>
      </c>
      <c r="BJ100"/>
    </row>
    <row r="101" spans="1:62" x14ac:dyDescent="0.45">
      <c r="A101" t="s">
        <v>464</v>
      </c>
      <c r="B101" t="s">
        <v>92</v>
      </c>
      <c r="C101" t="s">
        <v>81</v>
      </c>
      <c r="D101" t="s">
        <v>86</v>
      </c>
      <c r="E101" t="s">
        <v>464</v>
      </c>
      <c r="F101" t="s">
        <v>464</v>
      </c>
      <c r="G101" t="s">
        <v>465</v>
      </c>
      <c r="H101" t="s">
        <v>464</v>
      </c>
      <c r="K101" t="str">
        <f>The_Open[[#This Row],[Name]]</f>
        <v>Emiliano Grillo</v>
      </c>
      <c r="L101" t="str">
        <f>IF(The_Open[[#This Row],[Cut]]="CUT", "CUT", The_Open[[#This Row],[Round 1]]+The_Open[[#This Row],[Round 2]]+The_Open[[#This Row],[Round 3]]+The_Open[[#This Row],[Round 4]])</f>
        <v>CUT</v>
      </c>
      <c r="M101" t="str">
        <f>IF(The_Open[[#This Row],[Total]]="MC", "CUT", "")</f>
        <v>CUT</v>
      </c>
      <c r="BJ101"/>
    </row>
    <row r="102" spans="1:62" x14ac:dyDescent="0.45">
      <c r="A102" t="s">
        <v>464</v>
      </c>
      <c r="B102" t="s">
        <v>245</v>
      </c>
      <c r="C102" t="s">
        <v>85</v>
      </c>
      <c r="D102" t="s">
        <v>80</v>
      </c>
      <c r="E102" t="s">
        <v>464</v>
      </c>
      <c r="F102" t="s">
        <v>464</v>
      </c>
      <c r="G102" t="s">
        <v>465</v>
      </c>
      <c r="H102" t="s">
        <v>464</v>
      </c>
      <c r="K102" t="str">
        <f>The_Open[[#This Row],[Name]]</f>
        <v>Tom Kim</v>
      </c>
      <c r="L102" t="str">
        <f>IF(The_Open[[#This Row],[Cut]]="CUT", "CUT", The_Open[[#This Row],[Round 1]]+The_Open[[#This Row],[Round 2]]+The_Open[[#This Row],[Round 3]]+The_Open[[#This Row],[Round 4]])</f>
        <v>CUT</v>
      </c>
      <c r="M102" t="str">
        <f>IF(The_Open[[#This Row],[Total]]="MC", "CUT", "")</f>
        <v>CUT</v>
      </c>
      <c r="BJ102"/>
    </row>
    <row r="103" spans="1:62" x14ac:dyDescent="0.45">
      <c r="A103" t="s">
        <v>464</v>
      </c>
      <c r="B103" t="s">
        <v>352</v>
      </c>
      <c r="C103" t="s">
        <v>82</v>
      </c>
      <c r="D103" t="s">
        <v>83</v>
      </c>
      <c r="E103" t="s">
        <v>464</v>
      </c>
      <c r="F103" t="s">
        <v>464</v>
      </c>
      <c r="G103" t="s">
        <v>465</v>
      </c>
      <c r="H103" t="s">
        <v>464</v>
      </c>
      <c r="K103" t="str">
        <f>The_Open[[#This Row],[Name]]</f>
        <v>Max McGreevy</v>
      </c>
      <c r="L103" t="str">
        <f>IF(The_Open[[#This Row],[Cut]]="CUT", "CUT", The_Open[[#This Row],[Round 1]]+The_Open[[#This Row],[Round 2]]+The_Open[[#This Row],[Round 3]]+The_Open[[#This Row],[Round 4]])</f>
        <v>CUT</v>
      </c>
      <c r="M103" t="str">
        <f>IF(The_Open[[#This Row],[Total]]="MC", "CUT", "")</f>
        <v>CUT</v>
      </c>
      <c r="BJ103"/>
    </row>
    <row r="104" spans="1:62" x14ac:dyDescent="0.45">
      <c r="A104" t="s">
        <v>464</v>
      </c>
      <c r="B104" t="s">
        <v>369</v>
      </c>
      <c r="C104" t="s">
        <v>80</v>
      </c>
      <c r="D104" t="s">
        <v>85</v>
      </c>
      <c r="E104" t="s">
        <v>464</v>
      </c>
      <c r="F104" t="s">
        <v>464</v>
      </c>
      <c r="G104" t="s">
        <v>465</v>
      </c>
      <c r="H104" t="s">
        <v>464</v>
      </c>
      <c r="K104" t="str">
        <f>The_Open[[#This Row],[Name]]</f>
        <v>Parker McLachlin</v>
      </c>
      <c r="L104" t="str">
        <f>IF(The_Open[[#This Row],[Cut]]="CUT", "CUT", The_Open[[#This Row],[Round 1]]+The_Open[[#This Row],[Round 2]]+The_Open[[#This Row],[Round 3]]+The_Open[[#This Row],[Round 4]])</f>
        <v>CUT</v>
      </c>
      <c r="M104" t="str">
        <f>IF(The_Open[[#This Row],[Total]]="MC", "CUT", "")</f>
        <v>CUT</v>
      </c>
      <c r="BJ104"/>
    </row>
    <row r="105" spans="1:62" x14ac:dyDescent="0.45">
      <c r="A105" t="s">
        <v>464</v>
      </c>
      <c r="B105" t="s">
        <v>329</v>
      </c>
      <c r="C105" t="s">
        <v>80</v>
      </c>
      <c r="D105" t="s">
        <v>85</v>
      </c>
      <c r="E105" t="s">
        <v>464</v>
      </c>
      <c r="F105" t="s">
        <v>464</v>
      </c>
      <c r="G105" t="s">
        <v>465</v>
      </c>
      <c r="H105" t="s">
        <v>464</v>
      </c>
      <c r="K105" t="str">
        <f>The_Open[[#This Row],[Name]]</f>
        <v>Ryan Moore</v>
      </c>
      <c r="L105" t="str">
        <f>IF(The_Open[[#This Row],[Cut]]="CUT", "CUT", The_Open[[#This Row],[Round 1]]+The_Open[[#This Row],[Round 2]]+The_Open[[#This Row],[Round 3]]+The_Open[[#This Row],[Round 4]])</f>
        <v>CUT</v>
      </c>
      <c r="M105" t="str">
        <f>IF(The_Open[[#This Row],[Total]]="MC", "CUT", "")</f>
        <v>CUT</v>
      </c>
      <c r="BJ105"/>
    </row>
    <row r="106" spans="1:62" x14ac:dyDescent="0.45">
      <c r="A106" t="s">
        <v>464</v>
      </c>
      <c r="B106" t="s">
        <v>367</v>
      </c>
      <c r="C106" t="s">
        <v>82</v>
      </c>
      <c r="D106" t="s">
        <v>83</v>
      </c>
      <c r="E106" t="s">
        <v>464</v>
      </c>
      <c r="F106" t="s">
        <v>464</v>
      </c>
      <c r="G106" t="s">
        <v>465</v>
      </c>
      <c r="H106" t="s">
        <v>464</v>
      </c>
      <c r="K106" t="str">
        <f>The_Open[[#This Row],[Name]]</f>
        <v>Jesse Mueller</v>
      </c>
      <c r="L106" t="str">
        <f>IF(The_Open[[#This Row],[Cut]]="CUT", "CUT", The_Open[[#This Row],[Round 1]]+The_Open[[#This Row],[Round 2]]+The_Open[[#This Row],[Round 3]]+The_Open[[#This Row],[Round 4]])</f>
        <v>CUT</v>
      </c>
      <c r="M106" t="str">
        <f>IF(The_Open[[#This Row],[Total]]="MC", "CUT", "")</f>
        <v>CUT</v>
      </c>
      <c r="BJ106"/>
    </row>
    <row r="107" spans="1:62" x14ac:dyDescent="0.45">
      <c r="A107" t="s">
        <v>464</v>
      </c>
      <c r="B107" t="s">
        <v>347</v>
      </c>
      <c r="C107" t="s">
        <v>80</v>
      </c>
      <c r="D107" t="s">
        <v>85</v>
      </c>
      <c r="E107" t="s">
        <v>464</v>
      </c>
      <c r="F107" t="s">
        <v>464</v>
      </c>
      <c r="G107" t="s">
        <v>465</v>
      </c>
      <c r="H107" t="s">
        <v>464</v>
      </c>
      <c r="K107" t="str">
        <f>The_Open[[#This Row],[Name]]</f>
        <v>Kaito Onishi</v>
      </c>
      <c r="L107" t="str">
        <f>IF(The_Open[[#This Row],[Cut]]="CUT", "CUT", The_Open[[#This Row],[Round 1]]+The_Open[[#This Row],[Round 2]]+The_Open[[#This Row],[Round 3]]+The_Open[[#This Row],[Round 4]])</f>
        <v>CUT</v>
      </c>
      <c r="M107" t="str">
        <f>IF(The_Open[[#This Row],[Total]]="MC", "CUT", "")</f>
        <v>CUT</v>
      </c>
      <c r="BJ107"/>
    </row>
    <row r="108" spans="1:62" x14ac:dyDescent="0.45">
      <c r="A108" t="s">
        <v>464</v>
      </c>
      <c r="B108" t="s">
        <v>103</v>
      </c>
      <c r="C108" t="s">
        <v>80</v>
      </c>
      <c r="D108" t="s">
        <v>85</v>
      </c>
      <c r="E108" t="s">
        <v>464</v>
      </c>
      <c r="F108" t="s">
        <v>464</v>
      </c>
      <c r="G108" t="s">
        <v>465</v>
      </c>
      <c r="H108" t="s">
        <v>464</v>
      </c>
      <c r="K108" t="str">
        <f>The_Open[[#This Row],[Name]]</f>
        <v>Webb Simpson</v>
      </c>
      <c r="L108" t="str">
        <f>IF(The_Open[[#This Row],[Cut]]="CUT", "CUT", The_Open[[#This Row],[Round 1]]+The_Open[[#This Row],[Round 2]]+The_Open[[#This Row],[Round 3]]+The_Open[[#This Row],[Round 4]])</f>
        <v>CUT</v>
      </c>
      <c r="M108" t="str">
        <f>IF(The_Open[[#This Row],[Total]]="MC", "CUT", "")</f>
        <v>CUT</v>
      </c>
      <c r="BJ108"/>
    </row>
    <row r="109" spans="1:62" x14ac:dyDescent="0.45">
      <c r="A109" t="s">
        <v>464</v>
      </c>
      <c r="B109" t="s">
        <v>346</v>
      </c>
      <c r="C109" t="s">
        <v>82</v>
      </c>
      <c r="D109" t="s">
        <v>83</v>
      </c>
      <c r="E109" t="s">
        <v>464</v>
      </c>
      <c r="F109" t="s">
        <v>464</v>
      </c>
      <c r="G109" t="s">
        <v>465</v>
      </c>
      <c r="H109" t="s">
        <v>464</v>
      </c>
      <c r="K109" t="str">
        <f>The_Open[[#This Row],[Name]]</f>
        <v>Jimmy Walker</v>
      </c>
      <c r="L109" t="str">
        <f>IF(The_Open[[#This Row],[Cut]]="CUT", "CUT", The_Open[[#This Row],[Round 1]]+The_Open[[#This Row],[Round 2]]+The_Open[[#This Row],[Round 3]]+The_Open[[#This Row],[Round 4]])</f>
        <v>CUT</v>
      </c>
      <c r="M109" t="str">
        <f>IF(The_Open[[#This Row],[Total]]="MC", "CUT", "")</f>
        <v>CUT</v>
      </c>
      <c r="BJ109"/>
    </row>
    <row r="110" spans="1:62" x14ac:dyDescent="0.45">
      <c r="A110" t="s">
        <v>464</v>
      </c>
      <c r="B110" t="s">
        <v>259</v>
      </c>
      <c r="C110" t="s">
        <v>39</v>
      </c>
      <c r="D110" t="s">
        <v>77</v>
      </c>
      <c r="E110" t="s">
        <v>464</v>
      </c>
      <c r="F110" t="s">
        <v>464</v>
      </c>
      <c r="G110" t="s">
        <v>465</v>
      </c>
      <c r="H110" t="s">
        <v>464</v>
      </c>
      <c r="K110" t="str">
        <f>The_Open[[#This Row],[Name]]</f>
        <v>Gary Woodland</v>
      </c>
      <c r="L110" t="str">
        <f>IF(The_Open[[#This Row],[Cut]]="CUT", "CUT", The_Open[[#This Row],[Round 1]]+The_Open[[#This Row],[Round 2]]+The_Open[[#This Row],[Round 3]]+The_Open[[#This Row],[Round 4]])</f>
        <v>CUT</v>
      </c>
      <c r="M110" t="str">
        <f>IF(The_Open[[#This Row],[Total]]="MC", "CUT", "")</f>
        <v>CUT</v>
      </c>
      <c r="BJ110"/>
    </row>
    <row r="111" spans="1:62" x14ac:dyDescent="0.45">
      <c r="A111" t="s">
        <v>464</v>
      </c>
      <c r="B111" t="s">
        <v>316</v>
      </c>
      <c r="C111" t="s">
        <v>86</v>
      </c>
      <c r="D111" t="s">
        <v>80</v>
      </c>
      <c r="E111" t="s">
        <v>464</v>
      </c>
      <c r="F111" t="s">
        <v>464</v>
      </c>
      <c r="G111" t="s">
        <v>465</v>
      </c>
      <c r="H111" t="s">
        <v>464</v>
      </c>
      <c r="K111" t="str">
        <f>The_Open[[#This Row],[Name]]</f>
        <v>Zecheng Dou</v>
      </c>
      <c r="L111" t="str">
        <f>IF(The_Open[[#This Row],[Cut]]="CUT", "CUT", The_Open[[#This Row],[Round 1]]+The_Open[[#This Row],[Round 2]]+The_Open[[#This Row],[Round 3]]+The_Open[[#This Row],[Round 4]])</f>
        <v>CUT</v>
      </c>
      <c r="M111" t="str">
        <f>IF(The_Open[[#This Row],[Total]]="MC", "CUT", "")</f>
        <v>CUT</v>
      </c>
      <c r="BJ111"/>
    </row>
    <row r="112" spans="1:62" x14ac:dyDescent="0.45">
      <c r="A112" t="s">
        <v>464</v>
      </c>
      <c r="B112" t="s">
        <v>377</v>
      </c>
      <c r="C112" t="s">
        <v>82</v>
      </c>
      <c r="D112" t="s">
        <v>85</v>
      </c>
      <c r="E112" t="s">
        <v>464</v>
      </c>
      <c r="F112" t="s">
        <v>464</v>
      </c>
      <c r="G112" t="s">
        <v>465</v>
      </c>
      <c r="H112" t="s">
        <v>464</v>
      </c>
      <c r="K112" t="str">
        <f>The_Open[[#This Row],[Name]]</f>
        <v>Danny Guise</v>
      </c>
      <c r="L112" t="str">
        <f>IF(The_Open[[#This Row],[Cut]]="CUT", "CUT", The_Open[[#This Row],[Round 1]]+The_Open[[#This Row],[Round 2]]+The_Open[[#This Row],[Round 3]]+The_Open[[#This Row],[Round 4]])</f>
        <v>CUT</v>
      </c>
      <c r="M112" t="str">
        <f>IF(The_Open[[#This Row],[Total]]="MC", "CUT", "")</f>
        <v>CUT</v>
      </c>
      <c r="BJ112"/>
    </row>
    <row r="113" spans="1:62" x14ac:dyDescent="0.45">
      <c r="A113" t="s">
        <v>464</v>
      </c>
      <c r="B113" t="s">
        <v>322</v>
      </c>
      <c r="C113" t="s">
        <v>40</v>
      </c>
      <c r="D113" t="s">
        <v>77</v>
      </c>
      <c r="E113" t="s">
        <v>464</v>
      </c>
      <c r="F113" t="s">
        <v>464</v>
      </c>
      <c r="G113" t="s">
        <v>465</v>
      </c>
      <c r="H113" t="s">
        <v>464</v>
      </c>
      <c r="K113" t="str">
        <f>The_Open[[#This Row],[Name]]</f>
        <v>Paul Haley II</v>
      </c>
      <c r="L113" t="str">
        <f>IF(The_Open[[#This Row],[Cut]]="CUT", "CUT", The_Open[[#This Row],[Round 1]]+The_Open[[#This Row],[Round 2]]+The_Open[[#This Row],[Round 3]]+The_Open[[#This Row],[Round 4]])</f>
        <v>CUT</v>
      </c>
      <c r="M113" t="str">
        <f>IF(The_Open[[#This Row],[Total]]="MC", "CUT", "")</f>
        <v>CUT</v>
      </c>
      <c r="BJ113"/>
    </row>
    <row r="114" spans="1:62" x14ac:dyDescent="0.45">
      <c r="A114" t="s">
        <v>464</v>
      </c>
      <c r="B114" t="s">
        <v>69</v>
      </c>
      <c r="C114" t="s">
        <v>83</v>
      </c>
      <c r="D114" t="s">
        <v>83</v>
      </c>
      <c r="E114" t="s">
        <v>464</v>
      </c>
      <c r="F114" t="s">
        <v>464</v>
      </c>
      <c r="G114" t="s">
        <v>465</v>
      </c>
      <c r="H114" t="s">
        <v>464</v>
      </c>
      <c r="K114" t="str">
        <f>The_Open[[#This Row],[Name]]</f>
        <v>Sungjae Im</v>
      </c>
      <c r="L114" t="str">
        <f>IF(The_Open[[#This Row],[Cut]]="CUT", "CUT", The_Open[[#This Row],[Round 1]]+The_Open[[#This Row],[Round 2]]+The_Open[[#This Row],[Round 3]]+The_Open[[#This Row],[Round 4]])</f>
        <v>CUT</v>
      </c>
      <c r="M114" t="str">
        <f>IF(The_Open[[#This Row],[Total]]="MC", "CUT", "")</f>
        <v>CUT</v>
      </c>
      <c r="BJ114"/>
    </row>
    <row r="115" spans="1:62" x14ac:dyDescent="0.45">
      <c r="A115" t="s">
        <v>464</v>
      </c>
      <c r="B115" t="s">
        <v>376</v>
      </c>
      <c r="C115" t="s">
        <v>83</v>
      </c>
      <c r="D115" t="s">
        <v>83</v>
      </c>
      <c r="E115" t="s">
        <v>464</v>
      </c>
      <c r="F115" t="s">
        <v>464</v>
      </c>
      <c r="G115" t="s">
        <v>465</v>
      </c>
      <c r="H115" t="s">
        <v>464</v>
      </c>
      <c r="K115" t="str">
        <f>The_Open[[#This Row],[Name]]</f>
        <v>George Markham</v>
      </c>
      <c r="L115" t="str">
        <f>IF(The_Open[[#This Row],[Cut]]="CUT", "CUT", The_Open[[#This Row],[Round 1]]+The_Open[[#This Row],[Round 2]]+The_Open[[#This Row],[Round 3]]+The_Open[[#This Row],[Round 4]])</f>
        <v>CUT</v>
      </c>
      <c r="M115" t="str">
        <f>IF(The_Open[[#This Row],[Total]]="MC", "CUT", "")</f>
        <v>CUT</v>
      </c>
      <c r="BJ115"/>
    </row>
    <row r="116" spans="1:62" x14ac:dyDescent="0.45">
      <c r="A116" t="s">
        <v>464</v>
      </c>
      <c r="B116" t="s">
        <v>324</v>
      </c>
      <c r="C116" t="s">
        <v>82</v>
      </c>
      <c r="D116" t="s">
        <v>85</v>
      </c>
      <c r="E116" t="s">
        <v>464</v>
      </c>
      <c r="F116" t="s">
        <v>464</v>
      </c>
      <c r="G116" t="s">
        <v>465</v>
      </c>
      <c r="H116" t="s">
        <v>464</v>
      </c>
      <c r="K116" t="str">
        <f>The_Open[[#This Row],[Name]]</f>
        <v>Vincent Norrman</v>
      </c>
      <c r="L116" t="str">
        <f>IF(The_Open[[#This Row],[Cut]]="CUT", "CUT", The_Open[[#This Row],[Round 1]]+The_Open[[#This Row],[Round 2]]+The_Open[[#This Row],[Round 3]]+The_Open[[#This Row],[Round 4]])</f>
        <v>CUT</v>
      </c>
      <c r="M116" t="str">
        <f>IF(The_Open[[#This Row],[Total]]="MC", "CUT", "")</f>
        <v>CUT</v>
      </c>
      <c r="BJ116"/>
    </row>
    <row r="117" spans="1:62" x14ac:dyDescent="0.45">
      <c r="A117" t="s">
        <v>464</v>
      </c>
      <c r="B117" t="s">
        <v>449</v>
      </c>
      <c r="C117" t="s">
        <v>79</v>
      </c>
      <c r="D117" t="s">
        <v>90</v>
      </c>
      <c r="E117" t="s">
        <v>464</v>
      </c>
      <c r="F117" t="s">
        <v>464</v>
      </c>
      <c r="G117" t="s">
        <v>465</v>
      </c>
      <c r="H117" t="s">
        <v>464</v>
      </c>
      <c r="K117" t="str">
        <f>The_Open[[#This Row],[Name]]</f>
        <v>Kevin Roy</v>
      </c>
      <c r="L117" t="str">
        <f>IF(The_Open[[#This Row],[Cut]]="CUT", "CUT", The_Open[[#This Row],[Round 1]]+The_Open[[#This Row],[Round 2]]+The_Open[[#This Row],[Round 3]]+The_Open[[#This Row],[Round 4]])</f>
        <v>CUT</v>
      </c>
      <c r="M117" t="str">
        <f>IF(The_Open[[#This Row],[Total]]="MC", "CUT", "")</f>
        <v>CUT</v>
      </c>
      <c r="BJ117"/>
    </row>
    <row r="118" spans="1:62" x14ac:dyDescent="0.45">
      <c r="A118" t="s">
        <v>464</v>
      </c>
      <c r="B118" t="s">
        <v>225</v>
      </c>
      <c r="C118" t="s">
        <v>81</v>
      </c>
      <c r="D118" t="s">
        <v>87</v>
      </c>
      <c r="E118" t="s">
        <v>464</v>
      </c>
      <c r="F118" t="s">
        <v>464</v>
      </c>
      <c r="G118" t="s">
        <v>465</v>
      </c>
      <c r="H118" t="s">
        <v>464</v>
      </c>
      <c r="K118" t="str">
        <f>The_Open[[#This Row],[Name]]</f>
        <v>Robert Streb</v>
      </c>
      <c r="L118" t="str">
        <f>IF(The_Open[[#This Row],[Cut]]="CUT", "CUT", The_Open[[#This Row],[Round 1]]+The_Open[[#This Row],[Round 2]]+The_Open[[#This Row],[Round 3]]+The_Open[[#This Row],[Round 4]])</f>
        <v>CUT</v>
      </c>
      <c r="M118" t="str">
        <f>IF(The_Open[[#This Row],[Total]]="MC", "CUT", "")</f>
        <v>CUT</v>
      </c>
      <c r="BJ118"/>
    </row>
    <row r="119" spans="1:62" x14ac:dyDescent="0.45">
      <c r="A119" t="s">
        <v>464</v>
      </c>
      <c r="B119" t="s">
        <v>360</v>
      </c>
      <c r="C119" t="s">
        <v>83</v>
      </c>
      <c r="D119" t="s">
        <v>83</v>
      </c>
      <c r="E119" t="s">
        <v>464</v>
      </c>
      <c r="F119" t="s">
        <v>464</v>
      </c>
      <c r="G119" t="s">
        <v>465</v>
      </c>
      <c r="H119" t="s">
        <v>464</v>
      </c>
      <c r="K119" t="str">
        <f>The_Open[[#This Row],[Name]]</f>
        <v>Kyle Westmoreland</v>
      </c>
      <c r="L119" t="str">
        <f>IF(The_Open[[#This Row],[Cut]]="CUT", "CUT", The_Open[[#This Row],[Round 1]]+The_Open[[#This Row],[Round 2]]+The_Open[[#This Row],[Round 3]]+The_Open[[#This Row],[Round 4]])</f>
        <v>CUT</v>
      </c>
      <c r="M119" t="str">
        <f>IF(The_Open[[#This Row],[Total]]="MC", "CUT", "")</f>
        <v>CUT</v>
      </c>
      <c r="BJ119"/>
    </row>
    <row r="120" spans="1:62" x14ac:dyDescent="0.45">
      <c r="A120" t="s">
        <v>464</v>
      </c>
      <c r="B120" t="s">
        <v>372</v>
      </c>
      <c r="C120" t="s">
        <v>83</v>
      </c>
      <c r="D120" t="s">
        <v>85</v>
      </c>
      <c r="E120" t="s">
        <v>464</v>
      </c>
      <c r="F120" t="s">
        <v>464</v>
      </c>
      <c r="G120" t="s">
        <v>465</v>
      </c>
      <c r="H120" t="s">
        <v>464</v>
      </c>
      <c r="K120" t="str">
        <f>The_Open[[#This Row],[Name]]</f>
        <v>Blaze Akana</v>
      </c>
      <c r="L120" t="str">
        <f>IF(The_Open[[#This Row],[Cut]]="CUT", "CUT", The_Open[[#This Row],[Round 1]]+The_Open[[#This Row],[Round 2]]+The_Open[[#This Row],[Round 3]]+The_Open[[#This Row],[Round 4]])</f>
        <v>CUT</v>
      </c>
      <c r="M120" t="str">
        <f>IF(The_Open[[#This Row],[Total]]="MC", "CUT", "")</f>
        <v>CUT</v>
      </c>
      <c r="BJ120"/>
    </row>
    <row r="121" spans="1:62" x14ac:dyDescent="0.45">
      <c r="A121" t="s">
        <v>464</v>
      </c>
      <c r="B121" t="s">
        <v>65</v>
      </c>
      <c r="C121" t="s">
        <v>83</v>
      </c>
      <c r="D121" t="s">
        <v>85</v>
      </c>
      <c r="E121" t="s">
        <v>464</v>
      </c>
      <c r="F121" t="s">
        <v>464</v>
      </c>
      <c r="G121" t="s">
        <v>465</v>
      </c>
      <c r="H121" t="s">
        <v>464</v>
      </c>
      <c r="K121" t="str">
        <f>The_Open[[#This Row],[Name]]</f>
        <v>Keegan Bradley</v>
      </c>
      <c r="L121" t="str">
        <f>IF(The_Open[[#This Row],[Cut]]="CUT", "CUT", The_Open[[#This Row],[Round 1]]+The_Open[[#This Row],[Round 2]]+The_Open[[#This Row],[Round 3]]+The_Open[[#This Row],[Round 4]])</f>
        <v>CUT</v>
      </c>
      <c r="M121" t="str">
        <f>IF(The_Open[[#This Row],[Total]]="MC", "CUT", "")</f>
        <v>CUT</v>
      </c>
      <c r="BJ121"/>
    </row>
    <row r="122" spans="1:62" x14ac:dyDescent="0.45">
      <c r="A122" t="s">
        <v>464</v>
      </c>
      <c r="B122" t="s">
        <v>452</v>
      </c>
      <c r="C122" t="s">
        <v>85</v>
      </c>
      <c r="D122" t="s">
        <v>83</v>
      </c>
      <c r="E122" t="s">
        <v>464</v>
      </c>
      <c r="F122" t="s">
        <v>464</v>
      </c>
      <c r="G122" t="s">
        <v>465</v>
      </c>
      <c r="H122" t="s">
        <v>464</v>
      </c>
      <c r="K122" t="str">
        <f>The_Open[[#This Row],[Name]]</f>
        <v>Jonathan Byrd</v>
      </c>
      <c r="L122" t="str">
        <f>IF(The_Open[[#This Row],[Cut]]="CUT", "CUT", The_Open[[#This Row],[Round 1]]+The_Open[[#This Row],[Round 2]]+The_Open[[#This Row],[Round 3]]+The_Open[[#This Row],[Round 4]])</f>
        <v>CUT</v>
      </c>
      <c r="M122" t="str">
        <f>IF(The_Open[[#This Row],[Total]]="MC", "CUT", "")</f>
        <v>CUT</v>
      </c>
      <c r="BJ122"/>
    </row>
    <row r="123" spans="1:62" x14ac:dyDescent="0.45">
      <c r="A123" t="s">
        <v>464</v>
      </c>
      <c r="B123" t="s">
        <v>108</v>
      </c>
      <c r="C123" t="s">
        <v>85</v>
      </c>
      <c r="D123" t="s">
        <v>83</v>
      </c>
      <c r="E123" t="s">
        <v>464</v>
      </c>
      <c r="F123" t="s">
        <v>464</v>
      </c>
      <c r="G123" t="s">
        <v>465</v>
      </c>
      <c r="H123" t="s">
        <v>464</v>
      </c>
      <c r="K123" t="str">
        <f>The_Open[[#This Row],[Name]]</f>
        <v>Tyler Duncan</v>
      </c>
      <c r="L123" t="str">
        <f>IF(The_Open[[#This Row],[Cut]]="CUT", "CUT", The_Open[[#This Row],[Round 1]]+The_Open[[#This Row],[Round 2]]+The_Open[[#This Row],[Round 3]]+The_Open[[#This Row],[Round 4]])</f>
        <v>CUT</v>
      </c>
      <c r="M123" t="str">
        <f>IF(The_Open[[#This Row],[Total]]="MC", "CUT", "")</f>
        <v>CUT</v>
      </c>
      <c r="BJ123"/>
    </row>
    <row r="124" spans="1:62" x14ac:dyDescent="0.45">
      <c r="A124" t="s">
        <v>464</v>
      </c>
      <c r="B124" t="s">
        <v>356</v>
      </c>
      <c r="C124" t="s">
        <v>80</v>
      </c>
      <c r="D124" t="s">
        <v>87</v>
      </c>
      <c r="E124" t="s">
        <v>464</v>
      </c>
      <c r="F124" t="s">
        <v>464</v>
      </c>
      <c r="G124" t="s">
        <v>465</v>
      </c>
      <c r="H124" t="s">
        <v>464</v>
      </c>
      <c r="K124" t="str">
        <f>The_Open[[#This Row],[Name]]</f>
        <v>Scott Harrington</v>
      </c>
      <c r="L124" t="str">
        <f>IF(The_Open[[#This Row],[Cut]]="CUT", "CUT", The_Open[[#This Row],[Round 1]]+The_Open[[#This Row],[Round 2]]+The_Open[[#This Row],[Round 3]]+The_Open[[#This Row],[Round 4]])</f>
        <v>CUT</v>
      </c>
      <c r="M124" t="str">
        <f>IF(The_Open[[#This Row],[Total]]="MC", "CUT", "")</f>
        <v>CUT</v>
      </c>
      <c r="BJ124"/>
    </row>
    <row r="125" spans="1:62" x14ac:dyDescent="0.45">
      <c r="A125" t="s">
        <v>464</v>
      </c>
      <c r="B125" t="s">
        <v>226</v>
      </c>
      <c r="C125" t="s">
        <v>85</v>
      </c>
      <c r="D125" t="s">
        <v>83</v>
      </c>
      <c r="E125" t="s">
        <v>464</v>
      </c>
      <c r="F125" t="s">
        <v>464</v>
      </c>
      <c r="G125" t="s">
        <v>465</v>
      </c>
      <c r="H125" t="s">
        <v>464</v>
      </c>
      <c r="K125" t="str">
        <f>The_Open[[#This Row],[Name]]</f>
        <v>Harry Higgs</v>
      </c>
      <c r="L125" t="str">
        <f>IF(The_Open[[#This Row],[Cut]]="CUT", "CUT", The_Open[[#This Row],[Round 1]]+The_Open[[#This Row],[Round 2]]+The_Open[[#This Row],[Round 3]]+The_Open[[#This Row],[Round 4]])</f>
        <v>CUT</v>
      </c>
      <c r="M125" t="str">
        <f>IF(The_Open[[#This Row],[Total]]="MC", "CUT", "")</f>
        <v>CUT</v>
      </c>
      <c r="BJ125"/>
    </row>
    <row r="126" spans="1:62" x14ac:dyDescent="0.45">
      <c r="A126" t="s">
        <v>464</v>
      </c>
      <c r="B126" t="s">
        <v>95</v>
      </c>
      <c r="C126" t="s">
        <v>85</v>
      </c>
      <c r="D126" t="s">
        <v>83</v>
      </c>
      <c r="E126" t="s">
        <v>464</v>
      </c>
      <c r="F126" t="s">
        <v>464</v>
      </c>
      <c r="G126" t="s">
        <v>465</v>
      </c>
      <c r="H126" t="s">
        <v>464</v>
      </c>
      <c r="K126" t="str">
        <f>The_Open[[#This Row],[Name]]</f>
        <v>Billy Horschel</v>
      </c>
      <c r="L126" t="str">
        <f>IF(The_Open[[#This Row],[Cut]]="CUT", "CUT", The_Open[[#This Row],[Round 1]]+The_Open[[#This Row],[Round 2]]+The_Open[[#This Row],[Round 3]]+The_Open[[#This Row],[Round 4]])</f>
        <v>CUT</v>
      </c>
      <c r="M126" t="str">
        <f>IF(The_Open[[#This Row],[Total]]="MC", "CUT", "")</f>
        <v>CUT</v>
      </c>
      <c r="BJ126"/>
    </row>
    <row r="127" spans="1:62" x14ac:dyDescent="0.45">
      <c r="A127" t="s">
        <v>464</v>
      </c>
      <c r="B127" t="s">
        <v>332</v>
      </c>
      <c r="C127" t="s">
        <v>85</v>
      </c>
      <c r="D127" t="s">
        <v>83</v>
      </c>
      <c r="E127" t="s">
        <v>464</v>
      </c>
      <c r="F127" t="s">
        <v>464</v>
      </c>
      <c r="G127" t="s">
        <v>465</v>
      </c>
      <c r="H127" t="s">
        <v>464</v>
      </c>
      <c r="K127" t="str">
        <f>The_Open[[#This Row],[Name]]</f>
        <v>Michael Kim</v>
      </c>
      <c r="L127" t="str">
        <f>IF(The_Open[[#This Row],[Cut]]="CUT", "CUT", The_Open[[#This Row],[Round 1]]+The_Open[[#This Row],[Round 2]]+The_Open[[#This Row],[Round 3]]+The_Open[[#This Row],[Round 4]])</f>
        <v>CUT</v>
      </c>
      <c r="M127" t="str">
        <f>IF(The_Open[[#This Row],[Total]]="MC", "CUT", "")</f>
        <v>CUT</v>
      </c>
      <c r="BJ127"/>
    </row>
    <row r="128" spans="1:62" x14ac:dyDescent="0.45">
      <c r="A128" t="s">
        <v>464</v>
      </c>
      <c r="B128" t="s">
        <v>304</v>
      </c>
      <c r="C128" t="s">
        <v>86</v>
      </c>
      <c r="D128" t="s">
        <v>82</v>
      </c>
      <c r="E128" t="s">
        <v>464</v>
      </c>
      <c r="F128" t="s">
        <v>464</v>
      </c>
      <c r="G128" t="s">
        <v>465</v>
      </c>
      <c r="H128" t="s">
        <v>464</v>
      </c>
      <c r="K128" t="str">
        <f>The_Open[[#This Row],[Name]]</f>
        <v>David Lingmerth</v>
      </c>
      <c r="L128" t="str">
        <f>IF(The_Open[[#This Row],[Cut]]="CUT", "CUT", The_Open[[#This Row],[Round 1]]+The_Open[[#This Row],[Round 2]]+The_Open[[#This Row],[Round 3]]+The_Open[[#This Row],[Round 4]])</f>
        <v>CUT</v>
      </c>
      <c r="M128" t="str">
        <f>IF(The_Open[[#This Row],[Total]]="MC", "CUT", "")</f>
        <v>CUT</v>
      </c>
      <c r="BJ128"/>
    </row>
    <row r="129" spans="1:62" x14ac:dyDescent="0.45">
      <c r="A129" t="s">
        <v>464</v>
      </c>
      <c r="B129" t="s">
        <v>364</v>
      </c>
      <c r="C129" t="s">
        <v>79</v>
      </c>
      <c r="D129" t="s">
        <v>39</v>
      </c>
      <c r="E129" t="s">
        <v>464</v>
      </c>
      <c r="F129" t="s">
        <v>464</v>
      </c>
      <c r="G129" t="s">
        <v>465</v>
      </c>
      <c r="H129" t="s">
        <v>464</v>
      </c>
      <c r="K129" t="str">
        <f>The_Open[[#This Row],[Name]]</f>
        <v>Trevor Werbylo</v>
      </c>
      <c r="L129" t="str">
        <f>IF(The_Open[[#This Row],[Cut]]="CUT", "CUT", The_Open[[#This Row],[Round 1]]+The_Open[[#This Row],[Round 2]]+The_Open[[#This Row],[Round 3]]+The_Open[[#This Row],[Round 4]])</f>
        <v>CUT</v>
      </c>
      <c r="M129" t="str">
        <f>IF(The_Open[[#This Row],[Total]]="MC", "CUT", "")</f>
        <v>CUT</v>
      </c>
      <c r="BJ129"/>
    </row>
    <row r="130" spans="1:62" x14ac:dyDescent="0.45">
      <c r="A130" t="s">
        <v>464</v>
      </c>
      <c r="B130" t="s">
        <v>365</v>
      </c>
      <c r="C130" t="s">
        <v>80</v>
      </c>
      <c r="D130" t="s">
        <v>87</v>
      </c>
      <c r="E130" t="s">
        <v>464</v>
      </c>
      <c r="F130" t="s">
        <v>464</v>
      </c>
      <c r="G130" t="s">
        <v>465</v>
      </c>
      <c r="H130" t="s">
        <v>464</v>
      </c>
      <c r="K130" t="str">
        <f>The_Open[[#This Row],[Name]]</f>
        <v>Carson Young</v>
      </c>
      <c r="L130" t="str">
        <f>IF(The_Open[[#This Row],[Cut]]="CUT", "CUT", The_Open[[#This Row],[Round 1]]+The_Open[[#This Row],[Round 2]]+The_Open[[#This Row],[Round 3]]+The_Open[[#This Row],[Round 4]])</f>
        <v>CUT</v>
      </c>
      <c r="M130" t="str">
        <f>IF(The_Open[[#This Row],[Total]]="MC", "CUT", "")</f>
        <v>CUT</v>
      </c>
      <c r="BJ130"/>
    </row>
    <row r="131" spans="1:62" x14ac:dyDescent="0.45">
      <c r="A131" t="s">
        <v>464</v>
      </c>
      <c r="B131" t="s">
        <v>310</v>
      </c>
      <c r="C131" t="s">
        <v>82</v>
      </c>
      <c r="D131" t="s">
        <v>87</v>
      </c>
      <c r="E131" t="s">
        <v>464</v>
      </c>
      <c r="F131" t="s">
        <v>464</v>
      </c>
      <c r="G131" t="s">
        <v>465</v>
      </c>
      <c r="H131" t="s">
        <v>464</v>
      </c>
      <c r="K131" t="str">
        <f>The_Open[[#This Row],[Name]]</f>
        <v>Austin Cook</v>
      </c>
      <c r="L131" t="str">
        <f>IF(The_Open[[#This Row],[Cut]]="CUT", "CUT", The_Open[[#This Row],[Round 1]]+The_Open[[#This Row],[Round 2]]+The_Open[[#This Row],[Round 3]]+The_Open[[#This Row],[Round 4]])</f>
        <v>CUT</v>
      </c>
      <c r="M131" t="str">
        <f>IF(The_Open[[#This Row],[Total]]="MC", "CUT", "")</f>
        <v>CUT</v>
      </c>
      <c r="BJ131"/>
    </row>
    <row r="132" spans="1:62" x14ac:dyDescent="0.45">
      <c r="A132" t="s">
        <v>464</v>
      </c>
      <c r="B132" t="s">
        <v>350</v>
      </c>
      <c r="C132" t="s">
        <v>82</v>
      </c>
      <c r="D132" t="s">
        <v>87</v>
      </c>
      <c r="E132" t="s">
        <v>464</v>
      </c>
      <c r="F132" t="s">
        <v>464</v>
      </c>
      <c r="G132" t="s">
        <v>465</v>
      </c>
      <c r="H132" t="s">
        <v>464</v>
      </c>
      <c r="K132" t="str">
        <f>The_Open[[#This Row],[Name]]</f>
        <v>Brent Grant</v>
      </c>
      <c r="L132" t="str">
        <f>IF(The_Open[[#This Row],[Cut]]="CUT", "CUT", The_Open[[#This Row],[Round 1]]+The_Open[[#This Row],[Round 2]]+The_Open[[#This Row],[Round 3]]+The_Open[[#This Row],[Round 4]])</f>
        <v>CUT</v>
      </c>
      <c r="M132" t="str">
        <f>IF(The_Open[[#This Row],[Total]]="MC", "CUT", "")</f>
        <v>CUT</v>
      </c>
      <c r="BJ132"/>
    </row>
    <row r="133" spans="1:62" x14ac:dyDescent="0.45">
      <c r="A133" t="s">
        <v>464</v>
      </c>
      <c r="B133" t="s">
        <v>232</v>
      </c>
      <c r="C133" t="s">
        <v>85</v>
      </c>
      <c r="D133" t="s">
        <v>85</v>
      </c>
      <c r="E133" t="s">
        <v>464</v>
      </c>
      <c r="F133" t="s">
        <v>464</v>
      </c>
      <c r="G133" t="s">
        <v>465</v>
      </c>
      <c r="H133" t="s">
        <v>464</v>
      </c>
      <c r="K133" t="str">
        <f>The_Open[[#This Row],[Name]]</f>
        <v>Mackenzie Hughes</v>
      </c>
      <c r="L133" t="str">
        <f>IF(The_Open[[#This Row],[Cut]]="CUT", "CUT", The_Open[[#This Row],[Round 1]]+The_Open[[#This Row],[Round 2]]+The_Open[[#This Row],[Round 3]]+The_Open[[#This Row],[Round 4]])</f>
        <v>CUT</v>
      </c>
      <c r="M133" t="str">
        <f>IF(The_Open[[#This Row],[Total]]="MC", "CUT", "")</f>
        <v>CUT</v>
      </c>
      <c r="BJ133"/>
    </row>
    <row r="134" spans="1:62" x14ac:dyDescent="0.45">
      <c r="A134" t="s">
        <v>464</v>
      </c>
      <c r="B134" t="s">
        <v>312</v>
      </c>
      <c r="C134" t="s">
        <v>87</v>
      </c>
      <c r="D134" t="s">
        <v>82</v>
      </c>
      <c r="E134" t="s">
        <v>464</v>
      </c>
      <c r="F134" t="s">
        <v>464</v>
      </c>
      <c r="G134" t="s">
        <v>465</v>
      </c>
      <c r="H134" t="s">
        <v>464</v>
      </c>
      <c r="K134" t="str">
        <f>The_Open[[#This Row],[Name]]</f>
        <v>Yuto Katsuragawa</v>
      </c>
      <c r="L134" t="str">
        <f>IF(The_Open[[#This Row],[Cut]]="CUT", "CUT", The_Open[[#This Row],[Round 1]]+The_Open[[#This Row],[Round 2]]+The_Open[[#This Row],[Round 3]]+The_Open[[#This Row],[Round 4]])</f>
        <v>CUT</v>
      </c>
      <c r="M134" t="str">
        <f>IF(The_Open[[#This Row],[Total]]="MC", "CUT", "")</f>
        <v>CUT</v>
      </c>
      <c r="BJ134"/>
    </row>
    <row r="135" spans="1:62" x14ac:dyDescent="0.45">
      <c r="A135" t="s">
        <v>464</v>
      </c>
      <c r="B135" t="s">
        <v>269</v>
      </c>
      <c r="C135" t="s">
        <v>86</v>
      </c>
      <c r="D135" t="s">
        <v>83</v>
      </c>
      <c r="E135" t="s">
        <v>464</v>
      </c>
      <c r="F135" t="s">
        <v>464</v>
      </c>
      <c r="G135" t="s">
        <v>465</v>
      </c>
      <c r="H135" t="s">
        <v>464</v>
      </c>
      <c r="K135" t="str">
        <f>The_Open[[#This Row],[Name]]</f>
        <v>Robby Shelton</v>
      </c>
      <c r="L135" t="str">
        <f>IF(The_Open[[#This Row],[Cut]]="CUT", "CUT", The_Open[[#This Row],[Round 1]]+The_Open[[#This Row],[Round 2]]+The_Open[[#This Row],[Round 3]]+The_Open[[#This Row],[Round 4]])</f>
        <v>CUT</v>
      </c>
      <c r="M135" t="str">
        <f>IF(The_Open[[#This Row],[Total]]="MC", "CUT", "")</f>
        <v>CUT</v>
      </c>
      <c r="BJ135"/>
    </row>
    <row r="136" spans="1:62" x14ac:dyDescent="0.45">
      <c r="A136" t="s">
        <v>464</v>
      </c>
      <c r="B136" t="s">
        <v>353</v>
      </c>
      <c r="C136" t="s">
        <v>86</v>
      </c>
      <c r="D136" t="s">
        <v>83</v>
      </c>
      <c r="E136" t="s">
        <v>464</v>
      </c>
      <c r="F136" t="s">
        <v>464</v>
      </c>
      <c r="G136" t="s">
        <v>465</v>
      </c>
      <c r="H136" t="s">
        <v>464</v>
      </c>
      <c r="K136" t="str">
        <f>The_Open[[#This Row],[Name]]</f>
        <v>Richy Werenski</v>
      </c>
      <c r="L136" t="str">
        <f>IF(The_Open[[#This Row],[Cut]]="CUT", "CUT", The_Open[[#This Row],[Round 1]]+The_Open[[#This Row],[Round 2]]+The_Open[[#This Row],[Round 3]]+The_Open[[#This Row],[Round 4]])</f>
        <v>CUT</v>
      </c>
      <c r="M136" t="str">
        <f>IF(The_Open[[#This Row],[Total]]="MC", "CUT", "")</f>
        <v>CUT</v>
      </c>
      <c r="BJ136"/>
    </row>
    <row r="137" spans="1:62" x14ac:dyDescent="0.45">
      <c r="A137" t="s">
        <v>464</v>
      </c>
      <c r="B137" t="s">
        <v>340</v>
      </c>
      <c r="C137" t="s">
        <v>90</v>
      </c>
      <c r="D137" t="s">
        <v>82</v>
      </c>
      <c r="E137" t="s">
        <v>464</v>
      </c>
      <c r="F137" t="s">
        <v>464</v>
      </c>
      <c r="G137" t="s">
        <v>465</v>
      </c>
      <c r="H137" t="s">
        <v>464</v>
      </c>
      <c r="K137" t="str">
        <f>The_Open[[#This Row],[Name]]</f>
        <v>Michael Gligic</v>
      </c>
      <c r="L137" t="str">
        <f>IF(The_Open[[#This Row],[Cut]]="CUT", "CUT", The_Open[[#This Row],[Round 1]]+The_Open[[#This Row],[Round 2]]+The_Open[[#This Row],[Round 3]]+The_Open[[#This Row],[Round 4]])</f>
        <v>CUT</v>
      </c>
      <c r="M137" t="str">
        <f>IF(The_Open[[#This Row],[Total]]="MC", "CUT", "")</f>
        <v>CUT</v>
      </c>
      <c r="BJ137"/>
    </row>
    <row r="138" spans="1:62" x14ac:dyDescent="0.45">
      <c r="A138" t="s">
        <v>464</v>
      </c>
      <c r="B138" t="s">
        <v>320</v>
      </c>
      <c r="C138" t="s">
        <v>40</v>
      </c>
      <c r="D138" t="s">
        <v>80</v>
      </c>
      <c r="E138" t="s">
        <v>464</v>
      </c>
      <c r="F138" t="s">
        <v>464</v>
      </c>
      <c r="G138" t="s">
        <v>465</v>
      </c>
      <c r="H138" t="s">
        <v>464</v>
      </c>
      <c r="K138" t="str">
        <f>The_Open[[#This Row],[Name]]</f>
        <v>Harrison Endycott</v>
      </c>
      <c r="L138" t="str">
        <f>IF(The_Open[[#This Row],[Cut]]="CUT", "CUT", The_Open[[#This Row],[Round 1]]+The_Open[[#This Row],[Round 2]]+The_Open[[#This Row],[Round 3]]+The_Open[[#This Row],[Round 4]])</f>
        <v>CUT</v>
      </c>
      <c r="M138" t="str">
        <f>IF(The_Open[[#This Row],[Total]]="MC", "CUT", "")</f>
        <v>CUT</v>
      </c>
      <c r="BJ138"/>
    </row>
    <row r="139" spans="1:62" x14ac:dyDescent="0.45">
      <c r="A139" t="s">
        <v>464</v>
      </c>
      <c r="B139" t="s">
        <v>359</v>
      </c>
      <c r="C139" t="s">
        <v>455</v>
      </c>
      <c r="D139" t="s">
        <v>84</v>
      </c>
      <c r="E139" t="s">
        <v>464</v>
      </c>
      <c r="F139" t="s">
        <v>464</v>
      </c>
      <c r="G139" t="s">
        <v>465</v>
      </c>
      <c r="H139" t="s">
        <v>464</v>
      </c>
      <c r="K139" t="str">
        <f>The_Open[[#This Row],[Name]]</f>
        <v>Brandon Matthews</v>
      </c>
      <c r="L139" t="str">
        <f>IF(The_Open[[#This Row],[Cut]]="CUT", "CUT", The_Open[[#This Row],[Round 1]]+The_Open[[#This Row],[Round 2]]+The_Open[[#This Row],[Round 3]]+The_Open[[#This Row],[Round 4]])</f>
        <v>CUT</v>
      </c>
      <c r="M139" t="str">
        <f>IF(The_Open[[#This Row],[Total]]="MC", "CUT", "")</f>
        <v>CUT</v>
      </c>
      <c r="BJ139"/>
    </row>
    <row r="140" spans="1:62" x14ac:dyDescent="0.45">
      <c r="A140" t="s">
        <v>464</v>
      </c>
      <c r="B140" t="s">
        <v>68</v>
      </c>
      <c r="C140" t="s">
        <v>90</v>
      </c>
      <c r="D140" t="s">
        <v>83</v>
      </c>
      <c r="E140" t="s">
        <v>464</v>
      </c>
      <c r="F140" t="s">
        <v>464</v>
      </c>
      <c r="G140" t="s">
        <v>465</v>
      </c>
      <c r="H140" t="s">
        <v>464</v>
      </c>
      <c r="K140" t="str">
        <f>The_Open[[#This Row],[Name]]</f>
        <v>Kevin Streelman</v>
      </c>
      <c r="L140" t="str">
        <f>IF(The_Open[[#This Row],[Cut]]="CUT", "CUT", The_Open[[#This Row],[Round 1]]+The_Open[[#This Row],[Round 2]]+The_Open[[#This Row],[Round 3]]+The_Open[[#This Row],[Round 4]])</f>
        <v>CUT</v>
      </c>
      <c r="M140" t="str">
        <f>IF(The_Open[[#This Row],[Total]]="MC", "CUT", "")</f>
        <v>CUT</v>
      </c>
      <c r="BJ140"/>
    </row>
    <row r="141" spans="1:62" x14ac:dyDescent="0.45">
      <c r="A141" t="s">
        <v>464</v>
      </c>
      <c r="B141" t="s">
        <v>260</v>
      </c>
      <c r="C141" t="s">
        <v>87</v>
      </c>
      <c r="D141" t="s">
        <v>86</v>
      </c>
      <c r="E141" t="s">
        <v>464</v>
      </c>
      <c r="F141" t="s">
        <v>464</v>
      </c>
      <c r="G141" t="s">
        <v>465</v>
      </c>
      <c r="H141" t="s">
        <v>464</v>
      </c>
      <c r="K141" t="str">
        <f>The_Open[[#This Row],[Name]]</f>
        <v>Christiaan Bezuidenhout</v>
      </c>
      <c r="L141" t="str">
        <f>IF(The_Open[[#This Row],[Cut]]="CUT", "CUT", The_Open[[#This Row],[Round 1]]+The_Open[[#This Row],[Round 2]]+The_Open[[#This Row],[Round 3]]+The_Open[[#This Row],[Round 4]])</f>
        <v>CUT</v>
      </c>
      <c r="M141" t="str">
        <f>IF(The_Open[[#This Row],[Total]]="MC", "CUT", "")</f>
        <v>CUT</v>
      </c>
      <c r="BJ141"/>
    </row>
    <row r="142" spans="1:62" x14ac:dyDescent="0.45">
      <c r="A142" t="s">
        <v>464</v>
      </c>
      <c r="B142" t="s">
        <v>366</v>
      </c>
      <c r="C142" t="s">
        <v>39</v>
      </c>
      <c r="D142" t="s">
        <v>86</v>
      </c>
      <c r="E142" t="s">
        <v>464</v>
      </c>
      <c r="F142" t="s">
        <v>464</v>
      </c>
      <c r="G142" t="s">
        <v>465</v>
      </c>
      <c r="H142" t="s">
        <v>464</v>
      </c>
      <c r="K142" t="str">
        <f>The_Open[[#This Row],[Name]]</f>
        <v>Kohei Okada</v>
      </c>
      <c r="L142" t="str">
        <f>IF(The_Open[[#This Row],[Cut]]="CUT", "CUT", The_Open[[#This Row],[Round 1]]+The_Open[[#This Row],[Round 2]]+The_Open[[#This Row],[Round 3]]+The_Open[[#This Row],[Round 4]])</f>
        <v>CUT</v>
      </c>
      <c r="M142" t="str">
        <f>IF(The_Open[[#This Row],[Total]]="MC", "CUT", "")</f>
        <v>CUT</v>
      </c>
      <c r="BJ142"/>
    </row>
    <row r="143" spans="1:62" x14ac:dyDescent="0.45">
      <c r="A143" t="s">
        <v>464</v>
      </c>
      <c r="B143" t="s">
        <v>302</v>
      </c>
      <c r="C143" t="s">
        <v>39</v>
      </c>
      <c r="D143" t="s">
        <v>87</v>
      </c>
      <c r="E143" t="s">
        <v>464</v>
      </c>
      <c r="F143" t="s">
        <v>464</v>
      </c>
      <c r="G143" t="s">
        <v>465</v>
      </c>
      <c r="H143" t="s">
        <v>464</v>
      </c>
      <c r="K143" t="str">
        <f>The_Open[[#This Row],[Name]]</f>
        <v>Matthias Schwab</v>
      </c>
      <c r="L143" t="str">
        <f>IF(The_Open[[#This Row],[Cut]]="CUT", "CUT", The_Open[[#This Row],[Round 1]]+The_Open[[#This Row],[Round 2]]+The_Open[[#This Row],[Round 3]]+The_Open[[#This Row],[Round 4]])</f>
        <v>CUT</v>
      </c>
      <c r="M143" t="str">
        <f>IF(The_Open[[#This Row],[Total]]="MC", "CUT", "")</f>
        <v>CUT</v>
      </c>
      <c r="BJ143"/>
    </row>
    <row r="144" spans="1:62" x14ac:dyDescent="0.45">
      <c r="A144" t="s">
        <v>464</v>
      </c>
      <c r="B144" t="s">
        <v>374</v>
      </c>
      <c r="C144" t="s">
        <v>86</v>
      </c>
      <c r="D144" t="s">
        <v>40</v>
      </c>
      <c r="E144" t="s">
        <v>464</v>
      </c>
      <c r="F144" t="s">
        <v>464</v>
      </c>
      <c r="G144" t="s">
        <v>465</v>
      </c>
      <c r="H144" t="s">
        <v>464</v>
      </c>
      <c r="K144" t="str">
        <f>The_Open[[#This Row],[Name]]</f>
        <v>Austen Truslow</v>
      </c>
      <c r="L144" t="str">
        <f>IF(The_Open[[#This Row],[Cut]]="CUT", "CUT", The_Open[[#This Row],[Round 1]]+The_Open[[#This Row],[Round 2]]+The_Open[[#This Row],[Round 3]]+The_Open[[#This Row],[Round 4]])</f>
        <v>CUT</v>
      </c>
      <c r="M144" t="str">
        <f>IF(The_Open[[#This Row],[Total]]="MC", "CUT", "")</f>
        <v>CUT</v>
      </c>
      <c r="BJ144"/>
    </row>
    <row r="145" spans="1:62" x14ac:dyDescent="0.45">
      <c r="A145" t="s">
        <v>464</v>
      </c>
      <c r="B145" t="s">
        <v>370</v>
      </c>
      <c r="C145" t="s">
        <v>454</v>
      </c>
      <c r="D145" t="s">
        <v>87</v>
      </c>
      <c r="E145" t="s">
        <v>464</v>
      </c>
      <c r="F145" t="s">
        <v>464</v>
      </c>
      <c r="G145" t="s">
        <v>465</v>
      </c>
      <c r="H145" t="s">
        <v>464</v>
      </c>
      <c r="K145" t="str">
        <f>The_Open[[#This Row],[Name]]</f>
        <v>Michael Castillo</v>
      </c>
      <c r="L145" t="str">
        <f>IF(The_Open[[#This Row],[Cut]]="CUT", "CUT", The_Open[[#This Row],[Round 1]]+The_Open[[#This Row],[Round 2]]+The_Open[[#This Row],[Round 3]]+The_Open[[#This Row],[Round 4]])</f>
        <v>CUT</v>
      </c>
      <c r="M145" t="str">
        <f>IF(The_Open[[#This Row],[Total]]="MC", "CUT", "")</f>
        <v>CUT</v>
      </c>
      <c r="BJ145"/>
    </row>
    <row r="146" spans="1:62" x14ac:dyDescent="0.45">
      <c r="BJ146"/>
    </row>
    <row r="147" spans="1:62" x14ac:dyDescent="0.45">
      <c r="BJ147"/>
    </row>
    <row r="148" spans="1:62" x14ac:dyDescent="0.45">
      <c r="BJ148"/>
    </row>
    <row r="149" spans="1:62" x14ac:dyDescent="0.45">
      <c r="BJ149"/>
    </row>
    <row r="150" spans="1:62" x14ac:dyDescent="0.45">
      <c r="BJ150"/>
    </row>
    <row r="151" spans="1:62" x14ac:dyDescent="0.45">
      <c r="BJ151"/>
    </row>
    <row r="152" spans="1:62" x14ac:dyDescent="0.45">
      <c r="BJ152"/>
    </row>
    <row r="153" spans="1:62" x14ac:dyDescent="0.45">
      <c r="BJ153"/>
    </row>
    <row r="154" spans="1:62" x14ac:dyDescent="0.45">
      <c r="BJ154"/>
    </row>
    <row r="155" spans="1:62" x14ac:dyDescent="0.45">
      <c r="BJ155"/>
    </row>
    <row r="156" spans="1:62" x14ac:dyDescent="0.45">
      <c r="BJ156"/>
    </row>
    <row r="157" spans="1:62" x14ac:dyDescent="0.45">
      <c r="BH157" s="1"/>
      <c r="BJ157"/>
    </row>
    <row r="158" spans="1:62" x14ac:dyDescent="0.45">
      <c r="BI158" s="1"/>
      <c r="BJ158"/>
    </row>
    <row r="159" spans="1:62" x14ac:dyDescent="0.45">
      <c r="BI159" s="1"/>
      <c r="BJ159"/>
    </row>
  </sheetData>
  <phoneticPr fontId="25" type="noConversion"/>
  <dataValidations count="1">
    <dataValidation type="list" allowBlank="1" showInputMessage="1" showErrorMessage="1" sqref="S3" xr:uid="{E704CFFB-0A91-4460-A535-095AABE976FB}">
      <formula1>RoundOverride</formula1>
    </dataValidation>
  </dataValidations>
  <hyperlinks>
    <hyperlink ref="P10" r:id="rId1" xr:uid="{A28D23AB-56B0-4A4C-B2B4-EA642CF54675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A6550F-53AE-483B-9AF8-2E3E76143624}">
          <x14:formula1>
            <xm:f>'--Reference--&gt;'!$T$3:$T$4</xm:f>
          </x14:formula1>
          <xm:sqref>S2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0" tint="-0.249977111117893"/>
  </sheetPr>
  <dimension ref="A1"/>
  <sheetViews>
    <sheetView workbookViewId="0">
      <selection activeCell="J24" sqref="J24"/>
    </sheetView>
  </sheetViews>
  <sheetFormatPr defaultRowHeight="14.25" x14ac:dyDescent="0.4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ntryFormSheet">
    <tabColor rgb="FF00B0F0"/>
    <pageSetUpPr fitToPage="1"/>
  </sheetPr>
  <dimension ref="A1:Z44"/>
  <sheetViews>
    <sheetView view="pageLayout" zoomScale="40" zoomScaleNormal="55" zoomScalePageLayoutView="40" workbookViewId="0">
      <selection activeCell="M14" sqref="M14"/>
    </sheetView>
  </sheetViews>
  <sheetFormatPr defaultRowHeight="27" customHeight="1" x14ac:dyDescent="0.45"/>
  <cols>
    <col min="1" max="1" width="2.46484375" customWidth="1"/>
    <col min="2" max="6" width="5.53125" customWidth="1"/>
    <col min="7" max="7" width="8.6640625" customWidth="1"/>
    <col min="8" max="8" width="12.86328125" customWidth="1"/>
    <col min="9" max="13" width="5.53125" customWidth="1"/>
    <col min="14" max="14" width="12.86328125" customWidth="1"/>
    <col min="15" max="19" width="5.53125" customWidth="1"/>
    <col min="20" max="20" width="12.86328125" customWidth="1"/>
    <col min="21" max="25" width="5.53125" customWidth="1"/>
    <col min="26" max="26" width="2.46484375" customWidth="1"/>
    <col min="27" max="27" width="5.46484375" customWidth="1"/>
    <col min="50" max="50" width="9.1328125" customWidth="1"/>
  </cols>
  <sheetData>
    <row r="1" spans="1:26" ht="7.35" customHeight="1" x14ac:dyDescent="0.45">
      <c r="A1" s="16"/>
    </row>
    <row r="2" spans="1:26" ht="27" customHeight="1" x14ac:dyDescent="0.45">
      <c r="A2" s="65" t="str">
        <f ca="1">MID(CELL("filename",A1),FIND("[",CELL("filename",A1))+1,FIND("]", CELL("filename",A1))-FIND("[",CELL("filename",A1))-6)</f>
        <v>SONY OPEN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</row>
    <row r="3" spans="1:26" ht="42" customHeight="1" x14ac:dyDescent="0.4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26" ht="16.350000000000001" customHeight="1" x14ac:dyDescent="0.45">
      <c r="A4" s="17"/>
    </row>
    <row r="5" spans="1:26" ht="27" customHeight="1" x14ac:dyDescent="0.45">
      <c r="A5" s="17"/>
      <c r="B5" s="62" t="s">
        <v>23</v>
      </c>
      <c r="C5" s="62"/>
      <c r="D5" s="62"/>
      <c r="E5" s="62"/>
      <c r="F5" s="62"/>
      <c r="G5" s="62"/>
      <c r="H5" s="2"/>
      <c r="I5" s="2"/>
      <c r="J5" s="2"/>
      <c r="K5" s="2"/>
      <c r="L5" s="2"/>
      <c r="M5" s="2"/>
      <c r="N5" s="2"/>
      <c r="O5" s="2"/>
      <c r="P5" s="2"/>
      <c r="R5" s="69" t="s">
        <v>24</v>
      </c>
      <c r="S5" s="69"/>
      <c r="T5" s="69"/>
      <c r="U5" s="2"/>
      <c r="V5" s="2"/>
      <c r="W5" s="2"/>
      <c r="X5" s="2"/>
    </row>
    <row r="6" spans="1:26" ht="20.100000000000001" customHeight="1" x14ac:dyDescent="0.45">
      <c r="A6" s="17"/>
    </row>
    <row r="7" spans="1:26" ht="31.35" customHeight="1" x14ac:dyDescent="0.45">
      <c r="B7" s="66" t="s">
        <v>241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</row>
    <row r="8" spans="1:26" ht="75" customHeight="1" x14ac:dyDescent="0.45"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</row>
    <row r="9" spans="1:26" ht="75" customHeight="1" x14ac:dyDescent="0.45">
      <c r="A9" s="11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</row>
    <row r="10" spans="1:26" ht="23.1" customHeight="1" x14ac:dyDescent="0.45">
      <c r="A10" s="1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</row>
    <row r="11" spans="1:26" ht="27" customHeight="1" x14ac:dyDescent="0.45">
      <c r="B11" s="67" t="s">
        <v>21</v>
      </c>
      <c r="C11" s="67"/>
      <c r="D11" s="67"/>
      <c r="E11" s="67"/>
      <c r="F11" s="67"/>
      <c r="G11" s="13"/>
      <c r="H11" s="13"/>
      <c r="I11" s="68"/>
      <c r="J11" s="68"/>
      <c r="K11" s="68"/>
      <c r="L11" s="68"/>
      <c r="M11" s="68"/>
      <c r="N11" s="14"/>
      <c r="O11" s="67" t="s">
        <v>22</v>
      </c>
      <c r="P11" s="67"/>
      <c r="Q11" s="67"/>
      <c r="R11" s="67"/>
      <c r="S11" s="67"/>
      <c r="T11" s="14"/>
      <c r="U11" s="68"/>
      <c r="V11" s="68"/>
      <c r="W11" s="68"/>
      <c r="X11" s="68"/>
      <c r="Y11" s="68"/>
    </row>
    <row r="12" spans="1:26" ht="27" customHeight="1" x14ac:dyDescent="0.45">
      <c r="B12" s="35" t="s">
        <v>69</v>
      </c>
      <c r="C12" s="36"/>
      <c r="D12" s="36"/>
      <c r="E12" s="36"/>
      <c r="F12" s="36"/>
      <c r="G12" s="37"/>
      <c r="H12" s="37"/>
      <c r="I12" s="38" t="s">
        <v>257</v>
      </c>
      <c r="J12" s="37"/>
      <c r="K12" s="37"/>
      <c r="L12" s="37"/>
      <c r="M12" s="37"/>
      <c r="N12" s="37"/>
      <c r="O12" s="38" t="s">
        <v>275</v>
      </c>
      <c r="P12" s="36"/>
      <c r="Q12" s="36"/>
      <c r="R12" s="36"/>
      <c r="S12" s="36"/>
      <c r="T12" s="37"/>
      <c r="U12" s="38" t="s">
        <v>294</v>
      </c>
      <c r="V12" s="37"/>
      <c r="W12" s="20"/>
      <c r="X12" s="20"/>
      <c r="Y12" s="20"/>
    </row>
    <row r="13" spans="1:26" ht="27" customHeight="1" x14ac:dyDescent="0.45">
      <c r="B13" s="35" t="s">
        <v>245</v>
      </c>
      <c r="C13" s="36"/>
      <c r="D13" s="36"/>
      <c r="E13" s="36"/>
      <c r="F13" s="36"/>
      <c r="G13" s="37"/>
      <c r="H13" s="37"/>
      <c r="I13" s="38" t="s">
        <v>92</v>
      </c>
      <c r="J13" s="37"/>
      <c r="K13" s="37"/>
      <c r="L13" s="37"/>
      <c r="M13" s="37"/>
      <c r="N13" s="37"/>
      <c r="O13" s="38" t="s">
        <v>99</v>
      </c>
      <c r="P13" s="36"/>
      <c r="Q13" s="36"/>
      <c r="R13" s="36"/>
      <c r="S13" s="36"/>
      <c r="T13" s="37"/>
      <c r="U13" s="38" t="s">
        <v>72</v>
      </c>
      <c r="V13" s="37"/>
      <c r="W13" s="20"/>
      <c r="X13" s="20"/>
      <c r="Y13" s="20"/>
    </row>
    <row r="14" spans="1:26" ht="27" customHeight="1" x14ac:dyDescent="0.45">
      <c r="B14" s="35" t="s">
        <v>91</v>
      </c>
      <c r="C14" s="36"/>
      <c r="D14" s="36"/>
      <c r="E14" s="36"/>
      <c r="F14" s="36"/>
      <c r="G14" s="37"/>
      <c r="H14" s="37"/>
      <c r="I14" s="38" t="s">
        <v>258</v>
      </c>
      <c r="J14" s="37"/>
      <c r="K14" s="37"/>
      <c r="L14" s="37"/>
      <c r="M14" s="37"/>
      <c r="N14" s="37"/>
      <c r="O14" s="38" t="s">
        <v>276</v>
      </c>
      <c r="P14" s="36"/>
      <c r="Q14" s="36"/>
      <c r="R14" s="36"/>
      <c r="S14" s="36"/>
      <c r="T14" s="37"/>
      <c r="U14" s="38" t="s">
        <v>296</v>
      </c>
      <c r="V14" s="37"/>
      <c r="W14" s="20"/>
      <c r="X14" s="20"/>
      <c r="Y14" s="20"/>
    </row>
    <row r="15" spans="1:26" ht="27" customHeight="1" x14ac:dyDescent="0.75">
      <c r="B15" s="35" t="s">
        <v>107</v>
      </c>
      <c r="C15" s="39"/>
      <c r="D15" s="39"/>
      <c r="E15" s="39"/>
      <c r="F15" s="39"/>
      <c r="G15" s="39"/>
      <c r="H15" s="39"/>
      <c r="I15" s="38" t="s">
        <v>259</v>
      </c>
      <c r="J15" s="39"/>
      <c r="K15" s="39"/>
      <c r="L15" s="39"/>
      <c r="M15" s="39"/>
      <c r="N15" s="39"/>
      <c r="O15" s="38" t="s">
        <v>278</v>
      </c>
      <c r="P15" s="39"/>
      <c r="Q15" s="39"/>
      <c r="R15" s="39"/>
      <c r="S15" s="39"/>
      <c r="T15" s="39"/>
      <c r="U15" s="38" t="s">
        <v>297</v>
      </c>
      <c r="V15" s="39"/>
      <c r="W15" s="21"/>
      <c r="X15" s="21"/>
      <c r="Y15" s="21"/>
    </row>
    <row r="16" spans="1:26" ht="27" customHeight="1" x14ac:dyDescent="0.75">
      <c r="B16" s="35" t="s">
        <v>223</v>
      </c>
      <c r="C16" s="39"/>
      <c r="D16" s="39"/>
      <c r="E16" s="39"/>
      <c r="F16" s="39"/>
      <c r="G16" s="39"/>
      <c r="H16" s="39"/>
      <c r="I16" s="38" t="s">
        <v>260</v>
      </c>
      <c r="J16" s="39"/>
      <c r="K16" s="39"/>
      <c r="L16" s="39"/>
      <c r="M16" s="39"/>
      <c r="N16" s="39"/>
      <c r="O16" s="38" t="s">
        <v>279</v>
      </c>
      <c r="P16" s="39"/>
      <c r="Q16" s="39"/>
      <c r="R16" s="39"/>
      <c r="S16" s="39"/>
      <c r="T16" s="39"/>
      <c r="U16" s="38" t="s">
        <v>71</v>
      </c>
      <c r="V16" s="39"/>
      <c r="W16" s="21"/>
      <c r="X16" s="21"/>
      <c r="Y16" s="21"/>
    </row>
    <row r="17" spans="2:25" ht="27" customHeight="1" x14ac:dyDescent="0.75">
      <c r="B17" s="35" t="s">
        <v>73</v>
      </c>
      <c r="C17" s="39"/>
      <c r="D17" s="39"/>
      <c r="E17" s="39"/>
      <c r="F17" s="39"/>
      <c r="G17" s="39"/>
      <c r="H17" s="39"/>
      <c r="I17" s="38" t="s">
        <v>262</v>
      </c>
      <c r="J17" s="39"/>
      <c r="K17" s="39"/>
      <c r="L17" s="39"/>
      <c r="M17" s="39"/>
      <c r="N17" s="39"/>
      <c r="O17" s="38" t="s">
        <v>280</v>
      </c>
      <c r="P17" s="39"/>
      <c r="Q17" s="39"/>
      <c r="R17" s="39"/>
      <c r="S17" s="39"/>
      <c r="T17" s="39"/>
      <c r="U17" s="38" t="s">
        <v>298</v>
      </c>
      <c r="V17" s="39"/>
      <c r="W17" s="21"/>
      <c r="X17" s="21"/>
      <c r="Y17" s="21"/>
    </row>
    <row r="18" spans="2:25" ht="27" customHeight="1" x14ac:dyDescent="0.75">
      <c r="B18" s="35" t="s">
        <v>219</v>
      </c>
      <c r="C18" s="39"/>
      <c r="D18" s="39"/>
      <c r="E18" s="39"/>
      <c r="F18" s="39"/>
      <c r="G18" s="39"/>
      <c r="H18" s="39"/>
      <c r="I18" s="38" t="s">
        <v>232</v>
      </c>
      <c r="J18" s="39"/>
      <c r="K18" s="39"/>
      <c r="L18" s="39"/>
      <c r="M18" s="39"/>
      <c r="N18" s="39"/>
      <c r="O18" s="38" t="s">
        <v>281</v>
      </c>
      <c r="P18" s="39"/>
      <c r="Q18" s="39"/>
      <c r="R18" s="39"/>
      <c r="S18" s="39"/>
      <c r="T18" s="39"/>
      <c r="U18" s="38" t="s">
        <v>299</v>
      </c>
      <c r="V18" s="39"/>
      <c r="W18" s="21"/>
      <c r="X18" s="21"/>
      <c r="Y18" s="21"/>
    </row>
    <row r="19" spans="2:25" ht="27" customHeight="1" x14ac:dyDescent="0.75">
      <c r="B19" s="35" t="s">
        <v>74</v>
      </c>
      <c r="C19" s="39"/>
      <c r="D19" s="39"/>
      <c r="E19" s="39"/>
      <c r="F19" s="39"/>
      <c r="G19" s="39"/>
      <c r="H19" s="39"/>
      <c r="I19" s="38" t="s">
        <v>263</v>
      </c>
      <c r="J19" s="39"/>
      <c r="K19" s="39"/>
      <c r="L19" s="39"/>
      <c r="M19" s="39"/>
      <c r="N19" s="39"/>
      <c r="O19" s="38" t="s">
        <v>68</v>
      </c>
      <c r="P19" s="39"/>
      <c r="Q19" s="39"/>
      <c r="R19" s="39"/>
      <c r="S19" s="39"/>
      <c r="T19" s="39"/>
      <c r="U19" s="38" t="s">
        <v>300</v>
      </c>
      <c r="V19" s="39"/>
      <c r="W19" s="21"/>
      <c r="X19" s="21"/>
      <c r="Y19" s="21"/>
    </row>
    <row r="20" spans="2:25" ht="27" customHeight="1" x14ac:dyDescent="0.75">
      <c r="B20" s="35" t="s">
        <v>65</v>
      </c>
      <c r="C20" s="39"/>
      <c r="D20" s="39"/>
      <c r="E20" s="39"/>
      <c r="F20" s="39"/>
      <c r="G20" s="39"/>
      <c r="H20" s="39"/>
      <c r="I20" s="38" t="s">
        <v>264</v>
      </c>
      <c r="J20" s="39"/>
      <c r="K20" s="39"/>
      <c r="L20" s="39"/>
      <c r="M20" s="39"/>
      <c r="N20" s="39"/>
      <c r="O20" s="38" t="s">
        <v>212</v>
      </c>
      <c r="P20" s="39"/>
      <c r="Q20" s="39"/>
      <c r="R20" s="39"/>
      <c r="S20" s="39"/>
      <c r="T20" s="39"/>
      <c r="U20" s="38" t="s">
        <v>301</v>
      </c>
      <c r="V20" s="39"/>
      <c r="W20" s="21"/>
      <c r="X20" s="21"/>
      <c r="Y20" s="21"/>
    </row>
    <row r="21" spans="2:25" ht="27" customHeight="1" x14ac:dyDescent="0.75">
      <c r="B21" s="35" t="s">
        <v>95</v>
      </c>
      <c r="C21" s="39"/>
      <c r="D21" s="39"/>
      <c r="E21" s="39"/>
      <c r="F21" s="39"/>
      <c r="G21" s="39"/>
      <c r="H21" s="39"/>
      <c r="I21" s="38" t="s">
        <v>103</v>
      </c>
      <c r="J21" s="39"/>
      <c r="K21" s="39"/>
      <c r="L21" s="39"/>
      <c r="M21" s="39"/>
      <c r="N21" s="39"/>
      <c r="O21" s="38" t="s">
        <v>283</v>
      </c>
      <c r="P21" s="39"/>
      <c r="Q21" s="39"/>
      <c r="R21" s="39"/>
      <c r="S21" s="39"/>
      <c r="T21" s="39"/>
      <c r="U21" s="38" t="s">
        <v>302</v>
      </c>
      <c r="V21" s="39"/>
      <c r="W21" s="21"/>
      <c r="X21" s="21"/>
      <c r="Y21" s="21"/>
    </row>
    <row r="22" spans="2:25" ht="27" customHeight="1" x14ac:dyDescent="0.75">
      <c r="B22" s="35" t="s">
        <v>224</v>
      </c>
      <c r="C22" s="39"/>
      <c r="D22" s="39"/>
      <c r="E22" s="39"/>
      <c r="F22" s="39"/>
      <c r="G22" s="39"/>
      <c r="H22" s="39"/>
      <c r="I22" s="38" t="s">
        <v>97</v>
      </c>
      <c r="J22" s="39"/>
      <c r="K22" s="39"/>
      <c r="L22" s="39"/>
      <c r="M22" s="39"/>
      <c r="N22" s="39"/>
      <c r="O22" s="38" t="s">
        <v>284</v>
      </c>
      <c r="P22" s="39"/>
      <c r="Q22" s="39"/>
      <c r="R22" s="39"/>
      <c r="S22" s="39"/>
      <c r="T22" s="39"/>
      <c r="U22" s="38" t="s">
        <v>303</v>
      </c>
      <c r="V22" s="39"/>
      <c r="W22" s="21"/>
      <c r="X22" s="21"/>
      <c r="Y22" s="21"/>
    </row>
    <row r="23" spans="2:25" ht="27" customHeight="1" x14ac:dyDescent="0.75">
      <c r="B23" s="35" t="s">
        <v>221</v>
      </c>
      <c r="C23" s="39"/>
      <c r="D23" s="39"/>
      <c r="E23" s="39"/>
      <c r="F23" s="39"/>
      <c r="G23" s="39"/>
      <c r="H23" s="39"/>
      <c r="I23" s="38" t="s">
        <v>266</v>
      </c>
      <c r="J23" s="39"/>
      <c r="K23" s="39"/>
      <c r="L23" s="39"/>
      <c r="M23" s="39"/>
      <c r="N23" s="39"/>
      <c r="O23" s="38" t="s">
        <v>285</v>
      </c>
      <c r="P23" s="39"/>
      <c r="Q23" s="39"/>
      <c r="R23" s="39"/>
      <c r="S23" s="39"/>
      <c r="T23" s="39"/>
      <c r="U23" s="38" t="s">
        <v>304</v>
      </c>
      <c r="V23" s="39"/>
      <c r="W23" s="21"/>
      <c r="X23" s="21"/>
      <c r="Y23" s="21"/>
    </row>
    <row r="24" spans="2:25" ht="27" customHeight="1" x14ac:dyDescent="0.75">
      <c r="B24" s="35" t="s">
        <v>251</v>
      </c>
      <c r="C24" s="39"/>
      <c r="D24" s="39"/>
      <c r="E24" s="39"/>
      <c r="F24" s="39"/>
      <c r="G24" s="39"/>
      <c r="H24" s="39"/>
      <c r="I24" s="38" t="s">
        <v>267</v>
      </c>
      <c r="J24" s="39"/>
      <c r="K24" s="39"/>
      <c r="L24" s="39"/>
      <c r="M24" s="39"/>
      <c r="N24" s="39"/>
      <c r="O24" s="38" t="s">
        <v>286</v>
      </c>
      <c r="P24" s="39"/>
      <c r="Q24" s="39"/>
      <c r="R24" s="39"/>
      <c r="S24" s="39"/>
      <c r="T24" s="39"/>
      <c r="U24" s="38" t="s">
        <v>305</v>
      </c>
      <c r="V24" s="39"/>
      <c r="W24" s="21"/>
      <c r="X24" s="21"/>
      <c r="Y24" s="21"/>
    </row>
    <row r="25" spans="2:25" ht="27" customHeight="1" x14ac:dyDescent="0.75">
      <c r="B25" s="35" t="s">
        <v>98</v>
      </c>
      <c r="C25" s="39"/>
      <c r="D25" s="39"/>
      <c r="E25" s="39"/>
      <c r="F25" s="39"/>
      <c r="G25" s="39"/>
      <c r="H25" s="39"/>
      <c r="I25" s="38" t="s">
        <v>268</v>
      </c>
      <c r="J25" s="39"/>
      <c r="K25" s="39"/>
      <c r="L25" s="39"/>
      <c r="M25" s="39"/>
      <c r="N25" s="39"/>
      <c r="O25" s="38" t="s">
        <v>287</v>
      </c>
      <c r="P25" s="39"/>
      <c r="Q25" s="39"/>
      <c r="R25" s="39"/>
      <c r="S25" s="39"/>
      <c r="T25" s="39"/>
      <c r="U25" s="38" t="s">
        <v>307</v>
      </c>
      <c r="V25" s="39"/>
      <c r="W25" s="21"/>
      <c r="X25" s="21"/>
      <c r="Y25" s="21"/>
    </row>
    <row r="26" spans="2:25" ht="27" customHeight="1" x14ac:dyDescent="0.75">
      <c r="B26" s="35" t="s">
        <v>231</v>
      </c>
      <c r="C26" s="39"/>
      <c r="D26" s="39"/>
      <c r="E26" s="39"/>
      <c r="F26" s="39"/>
      <c r="G26" s="39"/>
      <c r="H26" s="39"/>
      <c r="I26" s="38" t="s">
        <v>269</v>
      </c>
      <c r="J26" s="39"/>
      <c r="K26" s="39"/>
      <c r="L26" s="39"/>
      <c r="M26" s="39"/>
      <c r="N26" s="39"/>
      <c r="O26" s="38" t="s">
        <v>288</v>
      </c>
      <c r="P26" s="39"/>
      <c r="Q26" s="39"/>
      <c r="R26" s="39"/>
      <c r="S26" s="39"/>
      <c r="T26" s="39"/>
      <c r="U26" s="38" t="s">
        <v>226</v>
      </c>
      <c r="V26" s="39"/>
      <c r="W26" s="21"/>
      <c r="X26" s="21"/>
      <c r="Y26" s="21"/>
    </row>
    <row r="27" spans="2:25" ht="27" customHeight="1" x14ac:dyDescent="0.75">
      <c r="B27" s="35" t="s">
        <v>110</v>
      </c>
      <c r="C27" s="39"/>
      <c r="D27" s="39"/>
      <c r="E27" s="39"/>
      <c r="F27" s="39"/>
      <c r="G27" s="39"/>
      <c r="H27" s="39"/>
      <c r="I27" s="38" t="s">
        <v>270</v>
      </c>
      <c r="J27" s="39"/>
      <c r="K27" s="39"/>
      <c r="L27" s="39"/>
      <c r="M27" s="39"/>
      <c r="N27" s="39"/>
      <c r="O27" s="38" t="s">
        <v>220</v>
      </c>
      <c r="P27" s="39"/>
      <c r="Q27" s="39"/>
      <c r="R27" s="39"/>
      <c r="S27" s="39"/>
      <c r="T27" s="39"/>
      <c r="U27" s="38" t="s">
        <v>308</v>
      </c>
      <c r="V27" s="39"/>
      <c r="W27" s="21"/>
      <c r="X27" s="21"/>
      <c r="Y27" s="21"/>
    </row>
    <row r="28" spans="2:25" ht="27" customHeight="1" x14ac:dyDescent="0.75">
      <c r="B28" s="35" t="s">
        <v>3</v>
      </c>
      <c r="C28" s="39"/>
      <c r="D28" s="39"/>
      <c r="E28" s="39"/>
      <c r="F28" s="39"/>
      <c r="G28" s="39"/>
      <c r="H28" s="39"/>
      <c r="I28" s="38" t="s">
        <v>271</v>
      </c>
      <c r="J28" s="39"/>
      <c r="K28" s="39"/>
      <c r="L28" s="39"/>
      <c r="M28" s="39"/>
      <c r="N28" s="39"/>
      <c r="O28" s="38" t="s">
        <v>289</v>
      </c>
      <c r="P28" s="39"/>
      <c r="Q28" s="39"/>
      <c r="R28" s="39"/>
      <c r="S28" s="39"/>
      <c r="T28" s="39"/>
      <c r="U28" s="38" t="s">
        <v>309</v>
      </c>
      <c r="V28" s="39"/>
      <c r="W28" s="21"/>
      <c r="X28" s="21"/>
      <c r="Y28" s="21"/>
    </row>
    <row r="29" spans="2:25" ht="27" customHeight="1" x14ac:dyDescent="0.75">
      <c r="B29" s="35" t="s">
        <v>106</v>
      </c>
      <c r="C29" s="39"/>
      <c r="D29" s="39"/>
      <c r="E29" s="39"/>
      <c r="F29" s="39"/>
      <c r="G29" s="39"/>
      <c r="H29" s="39"/>
      <c r="I29" s="38" t="s">
        <v>105</v>
      </c>
      <c r="J29" s="39"/>
      <c r="K29" s="39"/>
      <c r="L29" s="39"/>
      <c r="M29" s="39"/>
      <c r="N29" s="39"/>
      <c r="O29" s="38" t="s">
        <v>290</v>
      </c>
      <c r="P29" s="39"/>
      <c r="Q29" s="39"/>
      <c r="R29" s="39"/>
      <c r="S29" s="39"/>
      <c r="T29" s="39"/>
      <c r="U29" s="38" t="s">
        <v>310</v>
      </c>
      <c r="V29" s="39"/>
      <c r="W29" s="21"/>
      <c r="X29" s="21"/>
      <c r="Y29" s="21"/>
    </row>
    <row r="30" spans="2:25" ht="27" customHeight="1" x14ac:dyDescent="0.75">
      <c r="B30" s="35" t="s">
        <v>253</v>
      </c>
      <c r="C30" s="39"/>
      <c r="D30" s="39"/>
      <c r="E30" s="39"/>
      <c r="F30" s="39"/>
      <c r="G30" s="39"/>
      <c r="H30" s="39"/>
      <c r="I30" s="38" t="s">
        <v>272</v>
      </c>
      <c r="J30" s="39"/>
      <c r="K30" s="39"/>
      <c r="L30" s="39"/>
      <c r="M30" s="39"/>
      <c r="N30" s="39"/>
      <c r="O30" s="38" t="s">
        <v>291</v>
      </c>
      <c r="P30" s="39"/>
      <c r="Q30" s="39"/>
      <c r="R30" s="39"/>
      <c r="S30" s="39"/>
      <c r="T30" s="39"/>
      <c r="U30" s="38" t="s">
        <v>311</v>
      </c>
      <c r="V30" s="39"/>
      <c r="W30" s="21"/>
      <c r="X30" s="21"/>
      <c r="Y30" s="21"/>
    </row>
    <row r="31" spans="2:25" ht="27" customHeight="1" x14ac:dyDescent="0.75">
      <c r="B31" s="35" t="s">
        <v>254</v>
      </c>
      <c r="C31" s="39"/>
      <c r="D31" s="39"/>
      <c r="E31" s="39"/>
      <c r="F31" s="39"/>
      <c r="G31" s="39"/>
      <c r="H31" s="39"/>
      <c r="I31" s="38" t="s">
        <v>273</v>
      </c>
      <c r="J31" s="39"/>
      <c r="K31" s="39"/>
      <c r="L31" s="39"/>
      <c r="M31" s="39"/>
      <c r="N31" s="39"/>
      <c r="O31" s="38" t="s">
        <v>292</v>
      </c>
      <c r="P31" s="39"/>
      <c r="Q31" s="39"/>
      <c r="R31" s="39"/>
      <c r="S31" s="39"/>
      <c r="T31" s="39"/>
      <c r="U31" s="38" t="s">
        <v>312</v>
      </c>
      <c r="V31" s="39"/>
      <c r="W31" s="21"/>
      <c r="X31" s="21"/>
      <c r="Y31" s="21"/>
    </row>
    <row r="32" spans="2:25" ht="27" customHeight="1" x14ac:dyDescent="0.75">
      <c r="B32" s="35" t="s">
        <v>255</v>
      </c>
      <c r="C32" s="39"/>
      <c r="D32" s="39"/>
      <c r="E32" s="39"/>
      <c r="F32" s="39"/>
      <c r="G32" s="39"/>
      <c r="H32" s="39"/>
      <c r="I32" s="38" t="s">
        <v>43</v>
      </c>
      <c r="J32" s="39"/>
      <c r="K32" s="39"/>
      <c r="L32" s="39"/>
      <c r="M32" s="39"/>
      <c r="N32" s="39"/>
      <c r="O32" s="38" t="s">
        <v>293</v>
      </c>
      <c r="P32" s="39"/>
      <c r="Q32" s="39"/>
      <c r="R32" s="39"/>
      <c r="S32" s="39"/>
      <c r="T32" s="39"/>
      <c r="U32" s="38" t="s">
        <v>313</v>
      </c>
      <c r="V32" s="39"/>
      <c r="W32" s="21"/>
      <c r="X32" s="21"/>
      <c r="Y32" s="21"/>
    </row>
    <row r="33" spans="1:25" ht="24.75" customHeight="1" x14ac:dyDescent="0.45"/>
    <row r="34" spans="1:25" ht="56.1" customHeight="1" x14ac:dyDescent="0.45">
      <c r="B34" s="63" t="s">
        <v>66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</row>
    <row r="35" spans="1:25" ht="11.45" customHeight="1" x14ac:dyDescent="0.4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ht="27" customHeight="1" x14ac:dyDescent="0.45">
      <c r="B36" s="64" t="s">
        <v>19</v>
      </c>
      <c r="C36" s="64"/>
      <c r="D36" s="64"/>
      <c r="E36" s="64"/>
      <c r="F36" s="64"/>
      <c r="G36" s="64"/>
      <c r="H36" s="64"/>
      <c r="I36" s="64"/>
      <c r="J36" s="64"/>
      <c r="K36" s="64"/>
      <c r="L36" s="64"/>
      <c r="O36" s="64" t="s">
        <v>20</v>
      </c>
      <c r="P36" s="64"/>
      <c r="Q36" s="64"/>
      <c r="R36" s="64"/>
      <c r="S36" s="64"/>
      <c r="T36" s="64"/>
      <c r="U36" s="64"/>
      <c r="V36" s="64"/>
      <c r="W36" s="64"/>
      <c r="X36" s="64"/>
      <c r="Y36" s="64"/>
    </row>
    <row r="37" spans="1:25" ht="21.6" customHeight="1" x14ac:dyDescent="0.45"/>
    <row r="38" spans="1:25" ht="27" customHeight="1" x14ac:dyDescent="0.45">
      <c r="B38" s="22">
        <v>1</v>
      </c>
      <c r="C38" s="2"/>
      <c r="D38" s="2"/>
      <c r="E38" s="2"/>
      <c r="F38" s="2"/>
      <c r="G38" s="2"/>
      <c r="H38" s="2"/>
      <c r="I38" s="2"/>
      <c r="J38" s="2"/>
      <c r="K38" s="2"/>
      <c r="L38" s="2"/>
      <c r="O38" s="22">
        <v>1</v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r="40" spans="1:25" ht="27" customHeight="1" x14ac:dyDescent="0.45">
      <c r="A40" s="11"/>
      <c r="B40" s="22">
        <v>2</v>
      </c>
      <c r="C40" s="2"/>
      <c r="D40" s="2"/>
      <c r="E40" s="2"/>
      <c r="F40" s="2"/>
      <c r="G40" s="2"/>
      <c r="H40" s="2"/>
      <c r="I40" s="2"/>
      <c r="J40" s="2"/>
      <c r="K40" s="2"/>
      <c r="L40" s="2"/>
      <c r="O40" s="22">
        <v>2</v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ht="27" customHeight="1" x14ac:dyDescent="0.45">
      <c r="A41" s="11"/>
    </row>
    <row r="42" spans="1:25" ht="27" customHeight="1" x14ac:dyDescent="0.45">
      <c r="A42" s="19"/>
      <c r="G42" s="19"/>
      <c r="O42" s="22">
        <v>3</v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ht="27" customHeight="1" x14ac:dyDescent="0.45">
      <c r="A43" s="12"/>
      <c r="D43" s="12"/>
    </row>
    <row r="44" spans="1:25" ht="27" customHeight="1" x14ac:dyDescent="0.45">
      <c r="H44" s="12"/>
    </row>
  </sheetData>
  <mergeCells count="11">
    <mergeCell ref="B5:G5"/>
    <mergeCell ref="B34:Y34"/>
    <mergeCell ref="B36:L36"/>
    <mergeCell ref="O36:Y36"/>
    <mergeCell ref="A2:Z3"/>
    <mergeCell ref="B7:Y9"/>
    <mergeCell ref="B11:F11"/>
    <mergeCell ref="I11:M11"/>
    <mergeCell ref="O11:S11"/>
    <mergeCell ref="U11:Y11"/>
    <mergeCell ref="R5:T5"/>
  </mergeCells>
  <printOptions horizontalCentered="1" verticalCentered="1"/>
  <pageMargins left="0.1" right="0.1" top="0.1" bottom="0.1" header="0" footer="0"/>
  <pageSetup scale="62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tryForm_Print">
                <anchor moveWithCells="1" sizeWithCells="1">
                  <from>
                    <xdr:col>29</xdr:col>
                    <xdr:colOff>390525</xdr:colOff>
                    <xdr:row>3</xdr:row>
                    <xdr:rowOff>123825</xdr:rowOff>
                  </from>
                  <to>
                    <xdr:col>36</xdr:col>
                    <xdr:colOff>561975</xdr:colOff>
                    <xdr:row>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0" tint="-0.249977111117893"/>
  </sheetPr>
  <dimension ref="B2:N12"/>
  <sheetViews>
    <sheetView workbookViewId="0">
      <selection activeCell="M12" sqref="M12"/>
    </sheetView>
  </sheetViews>
  <sheetFormatPr defaultRowHeight="14.25" x14ac:dyDescent="0.45"/>
  <cols>
    <col min="13" max="13" width="23.6640625" bestFit="1" customWidth="1"/>
    <col min="14" max="14" width="15.86328125" customWidth="1"/>
  </cols>
  <sheetData>
    <row r="2" spans="2:14" x14ac:dyDescent="0.45">
      <c r="B2" t="s">
        <v>36</v>
      </c>
      <c r="M2" t="s">
        <v>213</v>
      </c>
      <c r="N2" t="s">
        <v>222</v>
      </c>
    </row>
    <row r="3" spans="2:14" x14ac:dyDescent="0.45">
      <c r="M3" s="51" t="s">
        <v>214</v>
      </c>
    </row>
    <row r="4" spans="2:14" x14ac:dyDescent="0.45">
      <c r="B4" t="s">
        <v>37</v>
      </c>
      <c r="M4" s="51" t="s">
        <v>215</v>
      </c>
    </row>
    <row r="5" spans="2:14" x14ac:dyDescent="0.45">
      <c r="M5" s="51" t="s">
        <v>216</v>
      </c>
    </row>
    <row r="6" spans="2:14" x14ac:dyDescent="0.45">
      <c r="B6" t="s">
        <v>38</v>
      </c>
      <c r="M6" s="51" t="s">
        <v>217</v>
      </c>
    </row>
    <row r="8" spans="2:14" x14ac:dyDescent="0.45">
      <c r="B8" s="51" t="s">
        <v>94</v>
      </c>
    </row>
    <row r="12" spans="2:14" x14ac:dyDescent="0.45">
      <c r="B12" s="51" t="s">
        <v>111</v>
      </c>
    </row>
  </sheetData>
  <hyperlinks>
    <hyperlink ref="B8" r:id="rId1" xr:uid="{A164A1C0-F2B3-4272-A438-7AD06446AE10}"/>
    <hyperlink ref="B12" r:id="rId2" xr:uid="{454400F8-EFCE-4DBB-85A8-66812F603D18}"/>
    <hyperlink ref="M3" r:id="rId3" xr:uid="{7798863D-F6EE-4A11-8432-40D614265371}"/>
    <hyperlink ref="M4" r:id="rId4" xr:uid="{D44069F9-2943-4BAC-BB21-606619BDB16C}"/>
    <hyperlink ref="M5" r:id="rId5" xr:uid="{4E10C2FB-D71B-41F4-8CCD-DF108E99317A}"/>
    <hyperlink ref="M6" r:id="rId6" xr:uid="{6EEE423A-3CF7-476B-84CF-29A38849628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5B500-0E85-4E1D-814C-83370C75EE76}">
  <sheetPr codeName="Sheet8"/>
  <dimension ref="A1:T13"/>
  <sheetViews>
    <sheetView topLeftCell="F1" workbookViewId="0">
      <selection activeCell="T7" sqref="T7:T10"/>
    </sheetView>
  </sheetViews>
  <sheetFormatPr defaultRowHeight="14.25" x14ac:dyDescent="0.45"/>
  <cols>
    <col min="1" max="1" width="15.33203125" bestFit="1" customWidth="1"/>
    <col min="3" max="5" width="2.33203125" customWidth="1"/>
  </cols>
  <sheetData>
    <row r="1" spans="1:20" x14ac:dyDescent="0.45">
      <c r="A1" t="s">
        <v>45</v>
      </c>
    </row>
    <row r="2" spans="1:20" x14ac:dyDescent="0.45">
      <c r="T2" t="s">
        <v>229</v>
      </c>
    </row>
    <row r="3" spans="1:20" x14ac:dyDescent="0.45">
      <c r="A3" t="s">
        <v>46</v>
      </c>
      <c r="B3">
        <f>COUNTA(Table2[Name])</f>
        <v>25</v>
      </c>
      <c r="F3" s="54" t="s">
        <v>47</v>
      </c>
      <c r="G3" s="2" t="s">
        <v>48</v>
      </c>
      <c r="H3" s="2" t="s">
        <v>49</v>
      </c>
      <c r="I3" s="2" t="s">
        <v>50</v>
      </c>
      <c r="J3" s="2" t="s">
        <v>51</v>
      </c>
      <c r="K3" s="2" t="s">
        <v>52</v>
      </c>
      <c r="L3" s="2" t="s">
        <v>53</v>
      </c>
      <c r="M3" s="2" t="s">
        <v>54</v>
      </c>
      <c r="N3" s="2" t="s">
        <v>58</v>
      </c>
      <c r="O3" s="2" t="s">
        <v>59</v>
      </c>
      <c r="P3" s="2" t="s">
        <v>60</v>
      </c>
      <c r="T3" t="s">
        <v>228</v>
      </c>
    </row>
    <row r="4" spans="1:20" x14ac:dyDescent="0.45">
      <c r="A4" t="s">
        <v>55</v>
      </c>
      <c r="B4">
        <f>ROUNDUP(COUNTA(Table2[Name]),-1)</f>
        <v>30</v>
      </c>
      <c r="E4" t="str">
        <f>IF(SUM(G4:P4)=1,"✓","≠")</f>
        <v>✓</v>
      </c>
      <c r="F4" s="1">
        <v>10</v>
      </c>
      <c r="G4" s="44">
        <v>1</v>
      </c>
      <c r="H4" s="44"/>
      <c r="I4" s="44"/>
      <c r="J4" s="44"/>
      <c r="K4" s="44"/>
      <c r="L4" s="44"/>
      <c r="M4" s="44"/>
      <c r="T4" t="s">
        <v>230</v>
      </c>
    </row>
    <row r="5" spans="1:20" x14ac:dyDescent="0.45">
      <c r="A5" t="s">
        <v>56</v>
      </c>
      <c r="B5" s="45">
        <v>5</v>
      </c>
      <c r="E5" t="str">
        <f t="shared" ref="E5:E13" si="0">IF(SUM(G5:P5)=1,"✓","≠")</f>
        <v>✓</v>
      </c>
      <c r="F5" s="1">
        <v>20</v>
      </c>
      <c r="G5" s="44">
        <v>0.7</v>
      </c>
      <c r="H5" s="44">
        <v>0.3</v>
      </c>
      <c r="I5" s="44"/>
      <c r="J5" s="44"/>
      <c r="K5" s="44"/>
      <c r="L5" s="44"/>
      <c r="M5" s="44"/>
    </row>
    <row r="6" spans="1:20" x14ac:dyDescent="0.45">
      <c r="A6" t="s">
        <v>57</v>
      </c>
      <c r="B6" s="53">
        <f>EntryFee*EntryCount</f>
        <v>125</v>
      </c>
      <c r="E6" t="str">
        <f t="shared" si="0"/>
        <v>✓</v>
      </c>
      <c r="F6" s="1">
        <v>30</v>
      </c>
      <c r="G6" s="44">
        <v>0.65</v>
      </c>
      <c r="H6" s="44">
        <v>0.25</v>
      </c>
      <c r="I6" s="44">
        <v>0.1</v>
      </c>
      <c r="J6" s="44"/>
      <c r="K6" s="44"/>
      <c r="L6" s="44"/>
      <c r="M6" s="44"/>
      <c r="T6" t="s">
        <v>467</v>
      </c>
    </row>
    <row r="7" spans="1:20" x14ac:dyDescent="0.45">
      <c r="E7" t="str">
        <f t="shared" si="0"/>
        <v>✓</v>
      </c>
      <c r="F7" s="1">
        <v>40</v>
      </c>
      <c r="G7" s="44">
        <v>0.55000000000000004</v>
      </c>
      <c r="H7" s="44">
        <v>0.25</v>
      </c>
      <c r="I7" s="44">
        <v>0.15</v>
      </c>
      <c r="J7" s="44">
        <v>0.05</v>
      </c>
      <c r="K7" s="44"/>
      <c r="L7" s="44"/>
      <c r="M7" s="44"/>
      <c r="T7" t="s">
        <v>468</v>
      </c>
    </row>
    <row r="8" spans="1:20" x14ac:dyDescent="0.45">
      <c r="E8" t="str">
        <f t="shared" si="0"/>
        <v>✓</v>
      </c>
      <c r="F8" s="1">
        <v>50</v>
      </c>
      <c r="G8" s="44">
        <v>0.5</v>
      </c>
      <c r="H8" s="44">
        <v>0.2</v>
      </c>
      <c r="I8" s="44">
        <v>0.15</v>
      </c>
      <c r="J8" s="44">
        <v>0.1</v>
      </c>
      <c r="K8" s="44">
        <v>0.05</v>
      </c>
      <c r="L8" s="44"/>
      <c r="M8" s="44"/>
      <c r="T8">
        <v>1</v>
      </c>
    </row>
    <row r="9" spans="1:20" x14ac:dyDescent="0.45">
      <c r="E9" t="str">
        <f t="shared" si="0"/>
        <v>✓</v>
      </c>
      <c r="F9" s="1">
        <v>60</v>
      </c>
      <c r="G9" s="44">
        <v>0.5</v>
      </c>
      <c r="H9" s="44">
        <v>0.2</v>
      </c>
      <c r="I9" s="44">
        <v>0.12</v>
      </c>
      <c r="J9" s="44">
        <v>0.08</v>
      </c>
      <c r="K9" s="44">
        <v>0.06</v>
      </c>
      <c r="L9" s="44">
        <v>0.04</v>
      </c>
      <c r="M9" s="44"/>
      <c r="T9">
        <v>2</v>
      </c>
    </row>
    <row r="10" spans="1:20" x14ac:dyDescent="0.45">
      <c r="E10" t="str">
        <f t="shared" si="0"/>
        <v>✓</v>
      </c>
      <c r="F10" s="1">
        <v>70</v>
      </c>
      <c r="G10" s="44">
        <v>0.5</v>
      </c>
      <c r="H10" s="44">
        <v>0.2</v>
      </c>
      <c r="I10" s="44">
        <v>0.1</v>
      </c>
      <c r="J10" s="44">
        <v>0.08</v>
      </c>
      <c r="K10" s="44">
        <v>0.06</v>
      </c>
      <c r="L10" s="44">
        <v>0.04</v>
      </c>
      <c r="M10" s="44">
        <v>0.02</v>
      </c>
      <c r="T10">
        <v>3</v>
      </c>
    </row>
    <row r="11" spans="1:20" x14ac:dyDescent="0.45">
      <c r="E11" t="str">
        <f t="shared" si="0"/>
        <v>✓</v>
      </c>
      <c r="F11" s="1">
        <v>80</v>
      </c>
      <c r="G11" s="44">
        <v>0.5</v>
      </c>
      <c r="H11" s="44">
        <v>0.2</v>
      </c>
      <c r="I11" s="44">
        <v>0.09</v>
      </c>
      <c r="J11" s="44">
        <v>7.0000000000000007E-2</v>
      </c>
      <c r="K11" s="44">
        <v>0.06</v>
      </c>
      <c r="L11" s="44">
        <v>0.04</v>
      </c>
      <c r="M11" s="44">
        <v>0.02</v>
      </c>
      <c r="N11">
        <v>0.02</v>
      </c>
    </row>
    <row r="12" spans="1:20" x14ac:dyDescent="0.45">
      <c r="E12" t="str">
        <f t="shared" si="0"/>
        <v>✓</v>
      </c>
      <c r="F12" s="1">
        <v>90</v>
      </c>
      <c r="G12" s="44">
        <v>0.5</v>
      </c>
      <c r="H12" s="44">
        <v>0.2</v>
      </c>
      <c r="I12" s="44">
        <v>0.08</v>
      </c>
      <c r="J12" s="44">
        <v>7.0000000000000007E-2</v>
      </c>
      <c r="K12" s="44">
        <v>0.05</v>
      </c>
      <c r="L12" s="44">
        <v>0.04</v>
      </c>
      <c r="M12" s="44">
        <v>0.02</v>
      </c>
      <c r="N12" s="44">
        <v>0.02</v>
      </c>
      <c r="O12">
        <v>0.02</v>
      </c>
    </row>
    <row r="13" spans="1:20" x14ac:dyDescent="0.45">
      <c r="E13" t="str">
        <f t="shared" si="0"/>
        <v>✓</v>
      </c>
      <c r="F13" s="1">
        <v>100</v>
      </c>
      <c r="G13" s="44">
        <v>0.5</v>
      </c>
      <c r="H13" s="44">
        <v>0.15</v>
      </c>
      <c r="I13" s="44">
        <v>0.1</v>
      </c>
      <c r="J13" s="44">
        <v>7.0000000000000007E-2</v>
      </c>
      <c r="K13" s="44">
        <v>0.05</v>
      </c>
      <c r="L13" s="44">
        <v>0.04</v>
      </c>
      <c r="M13" s="44">
        <v>0.03</v>
      </c>
      <c r="N13" s="44">
        <v>0.02</v>
      </c>
      <c r="O13" s="44">
        <v>0.02</v>
      </c>
      <c r="P13">
        <v>0.02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OddsSheet"/>
  <dimension ref="A1:K183"/>
  <sheetViews>
    <sheetView zoomScale="55" zoomScaleNormal="55" workbookViewId="0">
      <selection activeCell="G22" sqref="G22"/>
    </sheetView>
  </sheetViews>
  <sheetFormatPr defaultRowHeight="14.25" x14ac:dyDescent="0.45"/>
  <cols>
    <col min="1" max="1" width="25.53125" bestFit="1" customWidth="1"/>
    <col min="2" max="2" width="15.46484375" bestFit="1" customWidth="1"/>
    <col min="3" max="3" width="17.1328125" bestFit="1" customWidth="1"/>
    <col min="4" max="4" width="7.1328125" bestFit="1" customWidth="1"/>
    <col min="5" max="5" width="11.6640625" bestFit="1" customWidth="1"/>
    <col min="6" max="6" width="12" bestFit="1" customWidth="1"/>
    <col min="7" max="7" width="16.33203125" bestFit="1" customWidth="1"/>
    <col min="8" max="8" width="11.1328125" bestFit="1" customWidth="1"/>
    <col min="9" max="9" width="15.53125" bestFit="1" customWidth="1"/>
    <col min="10" max="10" width="11.1328125" bestFit="1" customWidth="1"/>
    <col min="11" max="11" width="5.53125" customWidth="1"/>
    <col min="12" max="12" width="6.86328125" bestFit="1" customWidth="1"/>
    <col min="13" max="13" width="5.33203125" bestFit="1" customWidth="1"/>
    <col min="14" max="14" width="19.6640625" bestFit="1" customWidth="1"/>
    <col min="15" max="15" width="11.6640625" bestFit="1" customWidth="1"/>
    <col min="16" max="16" width="12" bestFit="1" customWidth="1"/>
    <col min="17" max="17" width="10.46484375" bestFit="1" customWidth="1"/>
    <col min="18" max="18" width="7.53125" bestFit="1" customWidth="1"/>
  </cols>
  <sheetData>
    <row r="1" spans="1:11" x14ac:dyDescent="0.45">
      <c r="A1" t="s">
        <v>0</v>
      </c>
      <c r="B1" t="s">
        <v>4</v>
      </c>
    </row>
    <row r="2" spans="1:11" x14ac:dyDescent="0.45">
      <c r="A2" t="s">
        <v>69</v>
      </c>
      <c r="B2" t="s">
        <v>244</v>
      </c>
    </row>
    <row r="3" spans="1:11" x14ac:dyDescent="0.45">
      <c r="A3" t="s">
        <v>245</v>
      </c>
      <c r="B3" t="s">
        <v>244</v>
      </c>
    </row>
    <row r="4" spans="1:11" x14ac:dyDescent="0.45">
      <c r="A4" t="s">
        <v>91</v>
      </c>
      <c r="B4" t="s">
        <v>246</v>
      </c>
    </row>
    <row r="5" spans="1:11" x14ac:dyDescent="0.45">
      <c r="A5" t="s">
        <v>107</v>
      </c>
      <c r="B5" t="s">
        <v>246</v>
      </c>
    </row>
    <row r="6" spans="1:11" x14ac:dyDescent="0.45">
      <c r="A6" t="s">
        <v>223</v>
      </c>
      <c r="B6" t="s">
        <v>247</v>
      </c>
    </row>
    <row r="7" spans="1:11" x14ac:dyDescent="0.45">
      <c r="A7" t="s">
        <v>73</v>
      </c>
      <c r="B7" t="s">
        <v>247</v>
      </c>
    </row>
    <row r="8" spans="1:11" x14ac:dyDescent="0.45">
      <c r="A8" t="s">
        <v>219</v>
      </c>
      <c r="B8" t="s">
        <v>247</v>
      </c>
    </row>
    <row r="9" spans="1:11" x14ac:dyDescent="0.45">
      <c r="A9" t="s">
        <v>74</v>
      </c>
      <c r="B9" t="s">
        <v>248</v>
      </c>
      <c r="J9" s="28" t="s">
        <v>240</v>
      </c>
      <c r="K9" s="56">
        <v>2</v>
      </c>
    </row>
    <row r="10" spans="1:11" x14ac:dyDescent="0.45">
      <c r="A10" t="s">
        <v>65</v>
      </c>
      <c r="B10" t="s">
        <v>249</v>
      </c>
    </row>
    <row r="11" spans="1:11" x14ac:dyDescent="0.45">
      <c r="A11" t="s">
        <v>95</v>
      </c>
      <c r="B11" t="s">
        <v>249</v>
      </c>
    </row>
    <row r="12" spans="1:11" x14ac:dyDescent="0.45">
      <c r="A12" t="s">
        <v>224</v>
      </c>
      <c r="B12" t="s">
        <v>249</v>
      </c>
    </row>
    <row r="13" spans="1:11" x14ac:dyDescent="0.45">
      <c r="A13" t="s">
        <v>221</v>
      </c>
      <c r="B13" t="s">
        <v>250</v>
      </c>
      <c r="E13" s="51" t="s">
        <v>63</v>
      </c>
    </row>
    <row r="14" spans="1:11" x14ac:dyDescent="0.45">
      <c r="A14" t="s">
        <v>251</v>
      </c>
      <c r="B14" t="s">
        <v>250</v>
      </c>
      <c r="E14" t="s">
        <v>64</v>
      </c>
    </row>
    <row r="15" spans="1:11" x14ac:dyDescent="0.45">
      <c r="A15" t="s">
        <v>98</v>
      </c>
      <c r="B15" t="s">
        <v>250</v>
      </c>
      <c r="E15" t="s">
        <v>44</v>
      </c>
    </row>
    <row r="16" spans="1:11" x14ac:dyDescent="0.45">
      <c r="A16" t="s">
        <v>231</v>
      </c>
      <c r="B16" t="s">
        <v>250</v>
      </c>
      <c r="E16" s="51" t="s">
        <v>36</v>
      </c>
    </row>
    <row r="17" spans="1:5" x14ac:dyDescent="0.45">
      <c r="A17" t="s">
        <v>110</v>
      </c>
      <c r="B17" t="s">
        <v>252</v>
      </c>
    </row>
    <row r="18" spans="1:5" x14ac:dyDescent="0.45">
      <c r="A18" t="s">
        <v>3</v>
      </c>
      <c r="B18" t="s">
        <v>252</v>
      </c>
    </row>
    <row r="19" spans="1:5" x14ac:dyDescent="0.45">
      <c r="A19" t="s">
        <v>106</v>
      </c>
      <c r="B19" t="s">
        <v>252</v>
      </c>
      <c r="E19" s="51" t="s">
        <v>242</v>
      </c>
    </row>
    <row r="20" spans="1:5" x14ac:dyDescent="0.45">
      <c r="A20" t="s">
        <v>253</v>
      </c>
      <c r="B20" t="s">
        <v>252</v>
      </c>
    </row>
    <row r="21" spans="1:5" x14ac:dyDescent="0.45">
      <c r="A21" t="s">
        <v>254</v>
      </c>
      <c r="B21" t="s">
        <v>252</v>
      </c>
    </row>
    <row r="22" spans="1:5" x14ac:dyDescent="0.45">
      <c r="A22" t="s">
        <v>255</v>
      </c>
      <c r="B22" t="s">
        <v>256</v>
      </c>
    </row>
    <row r="23" spans="1:5" x14ac:dyDescent="0.45">
      <c r="A23" t="s">
        <v>257</v>
      </c>
      <c r="B23" t="s">
        <v>256</v>
      </c>
    </row>
    <row r="24" spans="1:5" x14ac:dyDescent="0.45">
      <c r="A24" t="s">
        <v>92</v>
      </c>
      <c r="B24" t="s">
        <v>256</v>
      </c>
    </row>
    <row r="25" spans="1:5" x14ac:dyDescent="0.45">
      <c r="A25" t="s">
        <v>258</v>
      </c>
      <c r="B25" t="s">
        <v>256</v>
      </c>
    </row>
    <row r="26" spans="1:5" x14ac:dyDescent="0.45">
      <c r="A26" t="s">
        <v>259</v>
      </c>
      <c r="B26" t="s">
        <v>256</v>
      </c>
    </row>
    <row r="27" spans="1:5" x14ac:dyDescent="0.45">
      <c r="A27" t="s">
        <v>260</v>
      </c>
      <c r="B27" t="s">
        <v>261</v>
      </c>
    </row>
    <row r="28" spans="1:5" x14ac:dyDescent="0.45">
      <c r="A28" t="s">
        <v>262</v>
      </c>
      <c r="B28" t="s">
        <v>261</v>
      </c>
    </row>
    <row r="29" spans="1:5" x14ac:dyDescent="0.45">
      <c r="A29" t="s">
        <v>232</v>
      </c>
      <c r="B29" t="s">
        <v>261</v>
      </c>
    </row>
    <row r="30" spans="1:5" x14ac:dyDescent="0.45">
      <c r="A30" t="s">
        <v>263</v>
      </c>
      <c r="B30" t="s">
        <v>261</v>
      </c>
    </row>
    <row r="31" spans="1:5" x14ac:dyDescent="0.45">
      <c r="A31" t="s">
        <v>264</v>
      </c>
      <c r="B31" t="s">
        <v>261</v>
      </c>
    </row>
    <row r="32" spans="1:5" x14ac:dyDescent="0.45">
      <c r="A32" t="s">
        <v>103</v>
      </c>
      <c r="B32" t="s">
        <v>265</v>
      </c>
    </row>
    <row r="33" spans="1:2" x14ac:dyDescent="0.45">
      <c r="A33" t="s">
        <v>97</v>
      </c>
      <c r="B33" t="s">
        <v>265</v>
      </c>
    </row>
    <row r="34" spans="1:2" x14ac:dyDescent="0.45">
      <c r="A34" t="s">
        <v>266</v>
      </c>
      <c r="B34" t="s">
        <v>265</v>
      </c>
    </row>
    <row r="35" spans="1:2" x14ac:dyDescent="0.45">
      <c r="A35" t="s">
        <v>267</v>
      </c>
      <c r="B35" t="s">
        <v>265</v>
      </c>
    </row>
    <row r="36" spans="1:2" x14ac:dyDescent="0.45">
      <c r="A36" t="s">
        <v>268</v>
      </c>
      <c r="B36" t="s">
        <v>265</v>
      </c>
    </row>
    <row r="37" spans="1:2" x14ac:dyDescent="0.45">
      <c r="A37" t="s">
        <v>269</v>
      </c>
      <c r="B37" t="s">
        <v>265</v>
      </c>
    </row>
    <row r="38" spans="1:2" x14ac:dyDescent="0.45">
      <c r="A38" t="s">
        <v>270</v>
      </c>
      <c r="B38" t="s">
        <v>265</v>
      </c>
    </row>
    <row r="39" spans="1:2" x14ac:dyDescent="0.45">
      <c r="A39" t="s">
        <v>271</v>
      </c>
      <c r="B39" t="s">
        <v>265</v>
      </c>
    </row>
    <row r="40" spans="1:2" x14ac:dyDescent="0.45">
      <c r="A40" t="s">
        <v>105</v>
      </c>
      <c r="B40" t="s">
        <v>265</v>
      </c>
    </row>
    <row r="41" spans="1:2" x14ac:dyDescent="0.45">
      <c r="A41" t="s">
        <v>272</v>
      </c>
      <c r="B41" t="s">
        <v>265</v>
      </c>
    </row>
    <row r="42" spans="1:2" x14ac:dyDescent="0.45">
      <c r="A42" t="s">
        <v>273</v>
      </c>
      <c r="B42" t="s">
        <v>274</v>
      </c>
    </row>
    <row r="43" spans="1:2" x14ac:dyDescent="0.45">
      <c r="A43" t="s">
        <v>43</v>
      </c>
      <c r="B43" t="s">
        <v>274</v>
      </c>
    </row>
    <row r="44" spans="1:2" x14ac:dyDescent="0.45">
      <c r="A44" t="s">
        <v>275</v>
      </c>
      <c r="B44" t="s">
        <v>274</v>
      </c>
    </row>
    <row r="45" spans="1:2" x14ac:dyDescent="0.45">
      <c r="A45" t="s">
        <v>99</v>
      </c>
      <c r="B45" t="s">
        <v>274</v>
      </c>
    </row>
    <row r="46" spans="1:2" x14ac:dyDescent="0.45">
      <c r="A46" t="s">
        <v>276</v>
      </c>
      <c r="B46" t="s">
        <v>277</v>
      </c>
    </row>
    <row r="47" spans="1:2" x14ac:dyDescent="0.45">
      <c r="A47" t="s">
        <v>278</v>
      </c>
      <c r="B47" t="s">
        <v>277</v>
      </c>
    </row>
    <row r="48" spans="1:2" x14ac:dyDescent="0.45">
      <c r="A48" t="s">
        <v>279</v>
      </c>
      <c r="B48" t="s">
        <v>277</v>
      </c>
    </row>
    <row r="49" spans="1:2" x14ac:dyDescent="0.45">
      <c r="A49" t="s">
        <v>280</v>
      </c>
      <c r="B49" t="s">
        <v>277</v>
      </c>
    </row>
    <row r="50" spans="1:2" x14ac:dyDescent="0.45">
      <c r="A50" t="s">
        <v>281</v>
      </c>
      <c r="B50" t="s">
        <v>277</v>
      </c>
    </row>
    <row r="51" spans="1:2" x14ac:dyDescent="0.45">
      <c r="A51" t="s">
        <v>68</v>
      </c>
      <c r="B51" t="s">
        <v>282</v>
      </c>
    </row>
    <row r="52" spans="1:2" x14ac:dyDescent="0.45">
      <c r="A52" t="s">
        <v>212</v>
      </c>
      <c r="B52" t="s">
        <v>282</v>
      </c>
    </row>
    <row r="53" spans="1:2" x14ac:dyDescent="0.45">
      <c r="A53" t="s">
        <v>283</v>
      </c>
      <c r="B53" t="s">
        <v>282</v>
      </c>
    </row>
    <row r="54" spans="1:2" x14ac:dyDescent="0.45">
      <c r="A54" t="s">
        <v>284</v>
      </c>
      <c r="B54" t="s">
        <v>282</v>
      </c>
    </row>
    <row r="55" spans="1:2" x14ac:dyDescent="0.45">
      <c r="A55" t="s">
        <v>285</v>
      </c>
      <c r="B55" t="s">
        <v>282</v>
      </c>
    </row>
    <row r="56" spans="1:2" x14ac:dyDescent="0.45">
      <c r="A56" t="s">
        <v>286</v>
      </c>
      <c r="B56" t="s">
        <v>282</v>
      </c>
    </row>
    <row r="57" spans="1:2" x14ac:dyDescent="0.45">
      <c r="A57" t="s">
        <v>287</v>
      </c>
      <c r="B57" t="s">
        <v>282</v>
      </c>
    </row>
    <row r="58" spans="1:2" x14ac:dyDescent="0.45">
      <c r="A58" t="s">
        <v>288</v>
      </c>
      <c r="B58" t="s">
        <v>282</v>
      </c>
    </row>
    <row r="59" spans="1:2" x14ac:dyDescent="0.45">
      <c r="A59" t="s">
        <v>220</v>
      </c>
      <c r="B59" t="s">
        <v>282</v>
      </c>
    </row>
    <row r="60" spans="1:2" x14ac:dyDescent="0.45">
      <c r="A60" t="s">
        <v>289</v>
      </c>
      <c r="B60" t="s">
        <v>282</v>
      </c>
    </row>
    <row r="61" spans="1:2" x14ac:dyDescent="0.45">
      <c r="A61" t="s">
        <v>290</v>
      </c>
      <c r="B61" t="s">
        <v>282</v>
      </c>
    </row>
    <row r="62" spans="1:2" x14ac:dyDescent="0.45">
      <c r="A62" t="s">
        <v>291</v>
      </c>
      <c r="B62" t="s">
        <v>282</v>
      </c>
    </row>
    <row r="63" spans="1:2" x14ac:dyDescent="0.45">
      <c r="A63" t="s">
        <v>292</v>
      </c>
      <c r="B63" t="s">
        <v>282</v>
      </c>
    </row>
    <row r="64" spans="1:2" x14ac:dyDescent="0.45">
      <c r="A64" t="s">
        <v>293</v>
      </c>
      <c r="B64" t="s">
        <v>282</v>
      </c>
    </row>
    <row r="65" spans="1:2" x14ac:dyDescent="0.45">
      <c r="A65" t="s">
        <v>294</v>
      </c>
      <c r="B65" t="s">
        <v>282</v>
      </c>
    </row>
    <row r="66" spans="1:2" x14ac:dyDescent="0.45">
      <c r="A66" t="s">
        <v>72</v>
      </c>
      <c r="B66" t="s">
        <v>295</v>
      </c>
    </row>
    <row r="67" spans="1:2" x14ac:dyDescent="0.45">
      <c r="A67" t="s">
        <v>296</v>
      </c>
      <c r="B67" t="s">
        <v>295</v>
      </c>
    </row>
    <row r="68" spans="1:2" x14ac:dyDescent="0.45">
      <c r="A68" t="s">
        <v>297</v>
      </c>
      <c r="B68" t="s">
        <v>295</v>
      </c>
    </row>
    <row r="69" spans="1:2" x14ac:dyDescent="0.45">
      <c r="A69" t="s">
        <v>71</v>
      </c>
      <c r="B69" t="s">
        <v>295</v>
      </c>
    </row>
    <row r="70" spans="1:2" x14ac:dyDescent="0.45">
      <c r="A70" t="s">
        <v>298</v>
      </c>
      <c r="B70" t="s">
        <v>295</v>
      </c>
    </row>
    <row r="71" spans="1:2" x14ac:dyDescent="0.45">
      <c r="A71" t="s">
        <v>299</v>
      </c>
      <c r="B71" t="s">
        <v>295</v>
      </c>
    </row>
    <row r="72" spans="1:2" x14ac:dyDescent="0.45">
      <c r="A72" t="s">
        <v>300</v>
      </c>
      <c r="B72" t="s">
        <v>295</v>
      </c>
    </row>
    <row r="73" spans="1:2" x14ac:dyDescent="0.45">
      <c r="A73" t="s">
        <v>301</v>
      </c>
      <c r="B73" t="s">
        <v>295</v>
      </c>
    </row>
    <row r="74" spans="1:2" x14ac:dyDescent="0.45">
      <c r="A74" t="s">
        <v>302</v>
      </c>
      <c r="B74" t="s">
        <v>295</v>
      </c>
    </row>
    <row r="75" spans="1:2" x14ac:dyDescent="0.45">
      <c r="A75" t="s">
        <v>303</v>
      </c>
      <c r="B75" t="s">
        <v>295</v>
      </c>
    </row>
    <row r="76" spans="1:2" x14ac:dyDescent="0.45">
      <c r="A76" t="s">
        <v>304</v>
      </c>
      <c r="B76" t="s">
        <v>295</v>
      </c>
    </row>
    <row r="77" spans="1:2" x14ac:dyDescent="0.45">
      <c r="A77" t="s">
        <v>305</v>
      </c>
      <c r="B77" t="s">
        <v>306</v>
      </c>
    </row>
    <row r="78" spans="1:2" x14ac:dyDescent="0.45">
      <c r="A78" t="s">
        <v>307</v>
      </c>
      <c r="B78" t="s">
        <v>306</v>
      </c>
    </row>
    <row r="79" spans="1:2" x14ac:dyDescent="0.45">
      <c r="A79" t="s">
        <v>226</v>
      </c>
      <c r="B79" t="s">
        <v>306</v>
      </c>
    </row>
    <row r="80" spans="1:2" x14ac:dyDescent="0.45">
      <c r="A80" t="s">
        <v>308</v>
      </c>
      <c r="B80" t="s">
        <v>306</v>
      </c>
    </row>
    <row r="81" spans="1:2" x14ac:dyDescent="0.45">
      <c r="A81" t="s">
        <v>309</v>
      </c>
      <c r="B81" t="s">
        <v>306</v>
      </c>
    </row>
    <row r="82" spans="1:2" x14ac:dyDescent="0.45">
      <c r="A82" t="s">
        <v>310</v>
      </c>
      <c r="B82" t="s">
        <v>306</v>
      </c>
    </row>
    <row r="83" spans="1:2" x14ac:dyDescent="0.45">
      <c r="A83" t="s">
        <v>311</v>
      </c>
      <c r="B83" t="s">
        <v>306</v>
      </c>
    </row>
    <row r="84" spans="1:2" x14ac:dyDescent="0.45">
      <c r="A84" t="s">
        <v>312</v>
      </c>
      <c r="B84" t="s">
        <v>306</v>
      </c>
    </row>
    <row r="85" spans="1:2" x14ac:dyDescent="0.45">
      <c r="A85" t="s">
        <v>313</v>
      </c>
      <c r="B85" t="s">
        <v>306</v>
      </c>
    </row>
    <row r="86" spans="1:2" x14ac:dyDescent="0.45">
      <c r="A86" t="s">
        <v>314</v>
      </c>
      <c r="B86" t="s">
        <v>315</v>
      </c>
    </row>
    <row r="87" spans="1:2" x14ac:dyDescent="0.45">
      <c r="A87" t="s">
        <v>316</v>
      </c>
      <c r="B87" t="s">
        <v>315</v>
      </c>
    </row>
    <row r="88" spans="1:2" x14ac:dyDescent="0.45">
      <c r="A88" t="s">
        <v>317</v>
      </c>
      <c r="B88" t="s">
        <v>315</v>
      </c>
    </row>
    <row r="89" spans="1:2" x14ac:dyDescent="0.45">
      <c r="A89" t="s">
        <v>318</v>
      </c>
      <c r="B89" t="s">
        <v>315</v>
      </c>
    </row>
    <row r="90" spans="1:2" x14ac:dyDescent="0.45">
      <c r="A90" t="s">
        <v>319</v>
      </c>
      <c r="B90" t="s">
        <v>315</v>
      </c>
    </row>
    <row r="91" spans="1:2" x14ac:dyDescent="0.45">
      <c r="A91" t="s">
        <v>320</v>
      </c>
      <c r="B91" t="s">
        <v>315</v>
      </c>
    </row>
    <row r="92" spans="1:2" x14ac:dyDescent="0.45">
      <c r="A92" t="s">
        <v>108</v>
      </c>
      <c r="B92" t="s">
        <v>315</v>
      </c>
    </row>
    <row r="93" spans="1:2" x14ac:dyDescent="0.45">
      <c r="A93" t="s">
        <v>321</v>
      </c>
      <c r="B93" t="s">
        <v>315</v>
      </c>
    </row>
    <row r="94" spans="1:2" x14ac:dyDescent="0.45">
      <c r="A94" t="s">
        <v>225</v>
      </c>
      <c r="B94" t="s">
        <v>315</v>
      </c>
    </row>
    <row r="95" spans="1:2" x14ac:dyDescent="0.45">
      <c r="A95" t="s">
        <v>322</v>
      </c>
      <c r="B95" t="s">
        <v>315</v>
      </c>
    </row>
    <row r="96" spans="1:2" x14ac:dyDescent="0.45">
      <c r="A96" t="s">
        <v>323</v>
      </c>
      <c r="B96" t="s">
        <v>315</v>
      </c>
    </row>
    <row r="97" spans="1:2" x14ac:dyDescent="0.45">
      <c r="A97" t="s">
        <v>324</v>
      </c>
      <c r="B97" t="s">
        <v>315</v>
      </c>
    </row>
    <row r="98" spans="1:2" x14ac:dyDescent="0.45">
      <c r="A98" t="s">
        <v>325</v>
      </c>
      <c r="B98" t="s">
        <v>315</v>
      </c>
    </row>
    <row r="99" spans="1:2" x14ac:dyDescent="0.45">
      <c r="A99" t="s">
        <v>326</v>
      </c>
      <c r="B99" t="s">
        <v>315</v>
      </c>
    </row>
    <row r="100" spans="1:2" x14ac:dyDescent="0.45">
      <c r="A100" t="s">
        <v>327</v>
      </c>
      <c r="B100" t="s">
        <v>315</v>
      </c>
    </row>
    <row r="101" spans="1:2" x14ac:dyDescent="0.45">
      <c r="A101" t="s">
        <v>328</v>
      </c>
      <c r="B101" t="s">
        <v>315</v>
      </c>
    </row>
    <row r="102" spans="1:2" x14ac:dyDescent="0.45">
      <c r="A102" t="s">
        <v>329</v>
      </c>
      <c r="B102" t="s">
        <v>315</v>
      </c>
    </row>
    <row r="103" spans="1:2" x14ac:dyDescent="0.45">
      <c r="A103" t="s">
        <v>330</v>
      </c>
      <c r="B103" t="s">
        <v>315</v>
      </c>
    </row>
    <row r="104" spans="1:2" x14ac:dyDescent="0.45">
      <c r="A104" t="s">
        <v>331</v>
      </c>
      <c r="B104" t="s">
        <v>315</v>
      </c>
    </row>
    <row r="105" spans="1:2" x14ac:dyDescent="0.45">
      <c r="A105" t="s">
        <v>332</v>
      </c>
      <c r="B105" t="s">
        <v>315</v>
      </c>
    </row>
    <row r="106" spans="1:2" x14ac:dyDescent="0.45">
      <c r="A106" t="s">
        <v>333</v>
      </c>
      <c r="B106" t="s">
        <v>315</v>
      </c>
    </row>
    <row r="107" spans="1:2" x14ac:dyDescent="0.45">
      <c r="A107" t="s">
        <v>334</v>
      </c>
      <c r="B107" t="s">
        <v>315</v>
      </c>
    </row>
    <row r="108" spans="1:2" x14ac:dyDescent="0.45">
      <c r="A108" t="s">
        <v>335</v>
      </c>
      <c r="B108" t="s">
        <v>336</v>
      </c>
    </row>
    <row r="109" spans="1:2" x14ac:dyDescent="0.45">
      <c r="A109" t="s">
        <v>337</v>
      </c>
      <c r="B109" t="s">
        <v>336</v>
      </c>
    </row>
    <row r="110" spans="1:2" x14ac:dyDescent="0.45">
      <c r="A110" t="s">
        <v>338</v>
      </c>
      <c r="B110" t="s">
        <v>336</v>
      </c>
    </row>
    <row r="111" spans="1:2" x14ac:dyDescent="0.45">
      <c r="A111" t="s">
        <v>339</v>
      </c>
      <c r="B111" t="s">
        <v>336</v>
      </c>
    </row>
    <row r="112" spans="1:2" x14ac:dyDescent="0.45">
      <c r="A112" t="s">
        <v>340</v>
      </c>
      <c r="B112" t="s">
        <v>336</v>
      </c>
    </row>
    <row r="113" spans="1:2" x14ac:dyDescent="0.45">
      <c r="A113" t="s">
        <v>341</v>
      </c>
      <c r="B113" t="s">
        <v>336</v>
      </c>
    </row>
    <row r="114" spans="1:2" x14ac:dyDescent="0.45">
      <c r="A114" t="s">
        <v>342</v>
      </c>
      <c r="B114" t="s">
        <v>336</v>
      </c>
    </row>
    <row r="115" spans="1:2" x14ac:dyDescent="0.45">
      <c r="A115" t="s">
        <v>343</v>
      </c>
      <c r="B115" t="s">
        <v>344</v>
      </c>
    </row>
    <row r="116" spans="1:2" x14ac:dyDescent="0.45">
      <c r="A116" t="s">
        <v>345</v>
      </c>
      <c r="B116" t="s">
        <v>344</v>
      </c>
    </row>
    <row r="117" spans="1:2" x14ac:dyDescent="0.45">
      <c r="A117" t="s">
        <v>346</v>
      </c>
      <c r="B117" t="s">
        <v>344</v>
      </c>
    </row>
    <row r="118" spans="1:2" x14ac:dyDescent="0.45">
      <c r="A118" t="s">
        <v>347</v>
      </c>
      <c r="B118" t="s">
        <v>344</v>
      </c>
    </row>
    <row r="119" spans="1:2" x14ac:dyDescent="0.45">
      <c r="A119" t="s">
        <v>348</v>
      </c>
      <c r="B119" t="s">
        <v>344</v>
      </c>
    </row>
    <row r="120" spans="1:2" x14ac:dyDescent="0.45">
      <c r="A120" t="s">
        <v>349</v>
      </c>
      <c r="B120" t="s">
        <v>344</v>
      </c>
    </row>
    <row r="121" spans="1:2" x14ac:dyDescent="0.45">
      <c r="A121" t="s">
        <v>350</v>
      </c>
      <c r="B121" t="s">
        <v>344</v>
      </c>
    </row>
    <row r="122" spans="1:2" x14ac:dyDescent="0.45">
      <c r="A122" t="s">
        <v>75</v>
      </c>
      <c r="B122" t="s">
        <v>351</v>
      </c>
    </row>
    <row r="123" spans="1:2" x14ac:dyDescent="0.45">
      <c r="A123" t="s">
        <v>352</v>
      </c>
      <c r="B123" t="s">
        <v>351</v>
      </c>
    </row>
    <row r="124" spans="1:2" x14ac:dyDescent="0.45">
      <c r="A124" t="s">
        <v>353</v>
      </c>
      <c r="B124" t="s">
        <v>351</v>
      </c>
    </row>
    <row r="125" spans="1:2" x14ac:dyDescent="0.45">
      <c r="A125" t="s">
        <v>354</v>
      </c>
      <c r="B125" t="s">
        <v>351</v>
      </c>
    </row>
    <row r="126" spans="1:2" x14ac:dyDescent="0.45">
      <c r="A126" t="s">
        <v>355</v>
      </c>
      <c r="B126" t="s">
        <v>351</v>
      </c>
    </row>
    <row r="127" spans="1:2" x14ac:dyDescent="0.45">
      <c r="A127" t="s">
        <v>356</v>
      </c>
      <c r="B127" t="s">
        <v>351</v>
      </c>
    </row>
    <row r="128" spans="1:2" x14ac:dyDescent="0.45">
      <c r="A128" t="s">
        <v>357</v>
      </c>
      <c r="B128" t="s">
        <v>351</v>
      </c>
    </row>
    <row r="129" spans="1:2" x14ac:dyDescent="0.45">
      <c r="A129" t="s">
        <v>358</v>
      </c>
      <c r="B129" t="s">
        <v>351</v>
      </c>
    </row>
    <row r="130" spans="1:2" x14ac:dyDescent="0.45">
      <c r="A130" t="s">
        <v>359</v>
      </c>
      <c r="B130" t="s">
        <v>351</v>
      </c>
    </row>
    <row r="131" spans="1:2" x14ac:dyDescent="0.45">
      <c r="A131" t="s">
        <v>360</v>
      </c>
      <c r="B131" t="s">
        <v>351</v>
      </c>
    </row>
    <row r="132" spans="1:2" x14ac:dyDescent="0.45">
      <c r="A132" t="s">
        <v>361</v>
      </c>
      <c r="B132" t="s">
        <v>362</v>
      </c>
    </row>
    <row r="133" spans="1:2" x14ac:dyDescent="0.45">
      <c r="A133" t="s">
        <v>363</v>
      </c>
      <c r="B133" t="s">
        <v>362</v>
      </c>
    </row>
    <row r="134" spans="1:2" x14ac:dyDescent="0.45">
      <c r="A134" t="s">
        <v>364</v>
      </c>
      <c r="B134" t="s">
        <v>362</v>
      </c>
    </row>
    <row r="135" spans="1:2" x14ac:dyDescent="0.45">
      <c r="A135" t="s">
        <v>365</v>
      </c>
      <c r="B135" t="s">
        <v>362</v>
      </c>
    </row>
    <row r="136" spans="1:2" x14ac:dyDescent="0.45">
      <c r="A136" t="s">
        <v>366</v>
      </c>
      <c r="B136" t="s">
        <v>362</v>
      </c>
    </row>
    <row r="137" spans="1:2" x14ac:dyDescent="0.45">
      <c r="A137" t="s">
        <v>367</v>
      </c>
      <c r="B137" t="s">
        <v>368</v>
      </c>
    </row>
    <row r="138" spans="1:2" x14ac:dyDescent="0.45">
      <c r="A138" t="s">
        <v>369</v>
      </c>
      <c r="B138" t="s">
        <v>368</v>
      </c>
    </row>
    <row r="139" spans="1:2" x14ac:dyDescent="0.45">
      <c r="A139" t="s">
        <v>370</v>
      </c>
      <c r="B139" t="s">
        <v>371</v>
      </c>
    </row>
    <row r="140" spans="1:2" x14ac:dyDescent="0.45">
      <c r="A140" t="s">
        <v>372</v>
      </c>
      <c r="B140" t="s">
        <v>371</v>
      </c>
    </row>
    <row r="141" spans="1:2" x14ac:dyDescent="0.45">
      <c r="A141" t="s">
        <v>373</v>
      </c>
      <c r="B141" t="s">
        <v>315</v>
      </c>
    </row>
    <row r="142" spans="1:2" x14ac:dyDescent="0.45">
      <c r="A142" t="s">
        <v>374</v>
      </c>
      <c r="B142" t="s">
        <v>362</v>
      </c>
    </row>
    <row r="143" spans="1:2" x14ac:dyDescent="0.45">
      <c r="A143" t="s">
        <v>375</v>
      </c>
      <c r="B143" t="s">
        <v>362</v>
      </c>
    </row>
    <row r="144" spans="1:2" x14ac:dyDescent="0.45">
      <c r="A144" t="s">
        <v>376</v>
      </c>
      <c r="B144" t="s">
        <v>368</v>
      </c>
    </row>
    <row r="145" spans="1:2" x14ac:dyDescent="0.45">
      <c r="A145" t="s">
        <v>377</v>
      </c>
      <c r="B145" t="s">
        <v>368</v>
      </c>
    </row>
    <row r="146" spans="1:2" x14ac:dyDescent="0.45">
      <c r="A146" t="s">
        <v>378</v>
      </c>
      <c r="B146" t="s">
        <v>379</v>
      </c>
    </row>
    <row r="147" spans="1:2" x14ac:dyDescent="0.45">
      <c r="A147" t="s">
        <v>69</v>
      </c>
      <c r="B147" t="s">
        <v>380</v>
      </c>
    </row>
    <row r="148" spans="1:2" x14ac:dyDescent="0.45">
      <c r="A148" t="s">
        <v>381</v>
      </c>
      <c r="B148" t="s">
        <v>382</v>
      </c>
    </row>
    <row r="149" spans="1:2" x14ac:dyDescent="0.45">
      <c r="A149" t="s">
        <v>223</v>
      </c>
      <c r="B149" t="s">
        <v>383</v>
      </c>
    </row>
    <row r="150" spans="1:2" x14ac:dyDescent="0.45">
      <c r="A150" t="s">
        <v>91</v>
      </c>
      <c r="B150" t="s">
        <v>384</v>
      </c>
    </row>
    <row r="151" spans="1:2" x14ac:dyDescent="0.45">
      <c r="A151" t="s">
        <v>219</v>
      </c>
      <c r="B151" t="s">
        <v>383</v>
      </c>
    </row>
    <row r="152" spans="1:2" x14ac:dyDescent="0.45">
      <c r="A152" t="s">
        <v>385</v>
      </c>
      <c r="B152" t="s">
        <v>384</v>
      </c>
    </row>
    <row r="153" spans="1:2" x14ac:dyDescent="0.45">
      <c r="A153" t="s">
        <v>98</v>
      </c>
      <c r="B153" t="s">
        <v>383</v>
      </c>
    </row>
    <row r="154" spans="1:2" x14ac:dyDescent="0.45">
      <c r="A154" t="s">
        <v>251</v>
      </c>
      <c r="B154" t="s">
        <v>384</v>
      </c>
    </row>
    <row r="155" spans="1:2" x14ac:dyDescent="0.45">
      <c r="A155" t="s">
        <v>231</v>
      </c>
      <c r="B155" t="s">
        <v>386</v>
      </c>
    </row>
    <row r="156" spans="1:2" x14ac:dyDescent="0.45">
      <c r="A156" t="s">
        <v>387</v>
      </c>
      <c r="B156" t="s">
        <v>388</v>
      </c>
    </row>
    <row r="157" spans="1:2" x14ac:dyDescent="0.45">
      <c r="A157" t="s">
        <v>258</v>
      </c>
      <c r="B157" t="s">
        <v>386</v>
      </c>
    </row>
    <row r="158" spans="1:2" x14ac:dyDescent="0.45">
      <c r="A158" t="s">
        <v>259</v>
      </c>
      <c r="B158" t="s">
        <v>388</v>
      </c>
    </row>
    <row r="159" spans="1:2" x14ac:dyDescent="0.45">
      <c r="A159" t="s">
        <v>257</v>
      </c>
      <c r="B159" t="s">
        <v>384</v>
      </c>
    </row>
    <row r="160" spans="1:2" x14ac:dyDescent="0.45">
      <c r="A160" t="s">
        <v>389</v>
      </c>
      <c r="B160" t="s">
        <v>383</v>
      </c>
    </row>
    <row r="161" spans="1:2" x14ac:dyDescent="0.45">
      <c r="A161" t="s">
        <v>232</v>
      </c>
      <c r="B161" t="s">
        <v>390</v>
      </c>
    </row>
    <row r="162" spans="1:2" x14ac:dyDescent="0.45">
      <c r="A162" t="s">
        <v>255</v>
      </c>
      <c r="B162" t="s">
        <v>391</v>
      </c>
    </row>
    <row r="163" spans="1:2" x14ac:dyDescent="0.45">
      <c r="A163" t="s">
        <v>260</v>
      </c>
      <c r="B163" t="s">
        <v>384</v>
      </c>
    </row>
    <row r="164" spans="1:2" x14ac:dyDescent="0.45">
      <c r="A164" t="s">
        <v>262</v>
      </c>
      <c r="B164" t="s">
        <v>383</v>
      </c>
    </row>
    <row r="165" spans="1:2" x14ac:dyDescent="0.45">
      <c r="A165" t="s">
        <v>392</v>
      </c>
      <c r="B165" t="s">
        <v>383</v>
      </c>
    </row>
    <row r="166" spans="1:2" x14ac:dyDescent="0.45">
      <c r="A166" t="s">
        <v>268</v>
      </c>
      <c r="B166" t="s">
        <v>384</v>
      </c>
    </row>
    <row r="167" spans="1:2" x14ac:dyDescent="0.45">
      <c r="A167" t="s">
        <v>393</v>
      </c>
      <c r="B167" t="s">
        <v>379</v>
      </c>
    </row>
    <row r="168" spans="1:2" x14ac:dyDescent="0.45">
      <c r="A168" t="s">
        <v>394</v>
      </c>
      <c r="B168" t="s">
        <v>395</v>
      </c>
    </row>
    <row r="169" spans="1:2" x14ac:dyDescent="0.45">
      <c r="A169" t="s">
        <v>396</v>
      </c>
      <c r="B169" t="s">
        <v>397</v>
      </c>
    </row>
    <row r="170" spans="1:2" x14ac:dyDescent="0.45">
      <c r="A170" t="s">
        <v>398</v>
      </c>
      <c r="B170" t="s">
        <v>397</v>
      </c>
    </row>
    <row r="171" spans="1:2" x14ac:dyDescent="0.45">
      <c r="A171" t="s">
        <v>399</v>
      </c>
      <c r="B171" t="s">
        <v>379</v>
      </c>
    </row>
    <row r="172" spans="1:2" x14ac:dyDescent="0.45">
      <c r="A172" t="s">
        <v>230</v>
      </c>
      <c r="B172" t="s">
        <v>400</v>
      </c>
    </row>
    <row r="173" spans="1:2" x14ac:dyDescent="0.45">
      <c r="A173" t="s">
        <v>228</v>
      </c>
      <c r="B173" t="s">
        <v>401</v>
      </c>
    </row>
    <row r="174" spans="1:2" x14ac:dyDescent="0.45">
      <c r="A174" t="s">
        <v>402</v>
      </c>
      <c r="B174" t="s">
        <v>379</v>
      </c>
    </row>
    <row r="175" spans="1:2" x14ac:dyDescent="0.45">
      <c r="A175" t="s">
        <v>403</v>
      </c>
      <c r="B175" t="s">
        <v>379</v>
      </c>
    </row>
    <row r="176" spans="1:2" x14ac:dyDescent="0.45">
      <c r="A176" t="s">
        <v>404</v>
      </c>
      <c r="B176" t="s">
        <v>379</v>
      </c>
    </row>
    <row r="177" spans="1:2" x14ac:dyDescent="0.45">
      <c r="A177" t="s">
        <v>405</v>
      </c>
      <c r="B177" t="s">
        <v>379</v>
      </c>
    </row>
    <row r="178" spans="1:2" x14ac:dyDescent="0.45">
      <c r="A178" t="s">
        <v>406</v>
      </c>
      <c r="B178" t="s">
        <v>379</v>
      </c>
    </row>
    <row r="179" spans="1:2" x14ac:dyDescent="0.45">
      <c r="A179" t="s">
        <v>407</v>
      </c>
      <c r="B179" t="s">
        <v>379</v>
      </c>
    </row>
    <row r="180" spans="1:2" x14ac:dyDescent="0.45">
      <c r="A180" t="s">
        <v>408</v>
      </c>
      <c r="B180" t="s">
        <v>409</v>
      </c>
    </row>
    <row r="181" spans="1:2" x14ac:dyDescent="0.45">
      <c r="A181" t="s">
        <v>410</v>
      </c>
      <c r="B181" t="s">
        <v>384</v>
      </c>
    </row>
    <row r="182" spans="1:2" x14ac:dyDescent="0.45">
      <c r="A182" t="s">
        <v>411</v>
      </c>
      <c r="B182" t="s">
        <v>412</v>
      </c>
    </row>
    <row r="183" spans="1:2" x14ac:dyDescent="0.45">
      <c r="A183" t="s">
        <v>413</v>
      </c>
      <c r="B183" t="s">
        <v>379</v>
      </c>
    </row>
  </sheetData>
  <phoneticPr fontId="25" type="noConversion"/>
  <hyperlinks>
    <hyperlink ref="E13" r:id="rId1" xr:uid="{038541AC-E9C6-4F2B-A3A9-68428D9D20C9}"/>
    <hyperlink ref="E16" r:id="rId2" xr:uid="{8EC7EE7B-06B3-47A4-B7FF-F1D3DE6301C2}"/>
    <hyperlink ref="E19" r:id="rId3" xr:uid="{36061650-0B53-4D33-9861-08A25C4D234E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7" name="Button 1">
              <controlPr defaultSize="0" print="0" autoFill="0" autoPict="0" macro="[0]!OddsToEntryForm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7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8" name="Button 2">
              <controlPr defaultSize="0" print="0" autoFill="0" autoPict="0">
                <anchor moveWithCells="1" sizeWithCells="1">
                  <from>
                    <xdr:col>3</xdr:col>
                    <xdr:colOff>862013</xdr:colOff>
                    <xdr:row>7</xdr:row>
                    <xdr:rowOff>9525</xdr:rowOff>
                  </from>
                  <to>
                    <xdr:col>6</xdr:col>
                    <xdr:colOff>1114425</xdr:colOff>
                    <xdr:row>9</xdr:row>
                    <xdr:rowOff>176213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B4B24-492E-4889-928D-B7FC2C94962E}">
  <sheetPr codeName="Sheet5"/>
  <dimension ref="A1:E2"/>
  <sheetViews>
    <sheetView workbookViewId="0">
      <selection activeCell="E2" sqref="E2"/>
    </sheetView>
  </sheetViews>
  <sheetFormatPr defaultRowHeight="14.25" x14ac:dyDescent="0.45"/>
  <cols>
    <col min="1" max="1" width="13.53125" bestFit="1" customWidth="1"/>
    <col min="2" max="2" width="24.46484375" bestFit="1" customWidth="1"/>
    <col min="3" max="3" width="5.53125" bestFit="1" customWidth="1"/>
    <col min="4" max="4" width="21.1328125" bestFit="1" customWidth="1"/>
    <col min="5" max="5" width="14.33203125" bestFit="1" customWidth="1"/>
    <col min="6" max="6" width="14.1328125" bestFit="1" customWidth="1"/>
    <col min="7" max="7" width="43.86328125" bestFit="1" customWidth="1"/>
    <col min="8" max="8" width="19.53125" bestFit="1" customWidth="1"/>
    <col min="9" max="9" width="19.1328125" bestFit="1" customWidth="1"/>
  </cols>
  <sheetData>
    <row r="1" spans="1:5" x14ac:dyDescent="0.45">
      <c r="A1" t="s">
        <v>112</v>
      </c>
      <c r="B1" t="s">
        <v>113</v>
      </c>
      <c r="C1" t="s">
        <v>117</v>
      </c>
      <c r="D1" t="s">
        <v>118</v>
      </c>
      <c r="E1" t="s">
        <v>119</v>
      </c>
    </row>
    <row r="2" spans="1:5" x14ac:dyDescent="0.45">
      <c r="A2" t="s">
        <v>120</v>
      </c>
      <c r="B2" t="s">
        <v>121</v>
      </c>
      <c r="D2" t="s">
        <v>102</v>
      </c>
      <c r="E2" s="53">
        <v>8000000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E5CFD-7A0F-4629-9F82-9C3C1D4CCA5A}">
  <sheetPr codeName="Sheet7"/>
  <dimension ref="A1:E48"/>
  <sheetViews>
    <sheetView workbookViewId="0">
      <selection activeCell="F23" sqref="F23"/>
    </sheetView>
  </sheetViews>
  <sheetFormatPr defaultRowHeight="14.25" x14ac:dyDescent="0.45"/>
  <cols>
    <col min="1" max="1" width="21.53125" customWidth="1"/>
    <col min="2" max="2" width="43.86328125" bestFit="1" customWidth="1"/>
    <col min="3" max="3" width="12" customWidth="1"/>
    <col min="4" max="4" width="21.1328125" bestFit="1" customWidth="1"/>
    <col min="5" max="5" width="17.86328125" customWidth="1"/>
    <col min="6" max="6" width="9" bestFit="1" customWidth="1"/>
    <col min="7" max="7" width="22.53125" bestFit="1" customWidth="1"/>
    <col min="8" max="8" width="43.86328125" bestFit="1" customWidth="1"/>
    <col min="9" max="11" width="22.46484375" bestFit="1" customWidth="1"/>
  </cols>
  <sheetData>
    <row r="1" spans="1:5" x14ac:dyDescent="0.45">
      <c r="A1" t="s">
        <v>112</v>
      </c>
      <c r="B1" t="s">
        <v>113</v>
      </c>
      <c r="C1" t="s">
        <v>117</v>
      </c>
      <c r="D1" t="s">
        <v>118</v>
      </c>
      <c r="E1" s="53" t="s">
        <v>119</v>
      </c>
    </row>
    <row r="2" spans="1:5" x14ac:dyDescent="0.45">
      <c r="A2" t="s">
        <v>170</v>
      </c>
      <c r="B2" t="s">
        <v>122</v>
      </c>
      <c r="D2" t="s">
        <v>100</v>
      </c>
      <c r="E2" s="53"/>
    </row>
    <row r="3" spans="1:5" x14ac:dyDescent="0.45">
      <c r="A3" t="s">
        <v>170</v>
      </c>
      <c r="B3" t="s">
        <v>123</v>
      </c>
      <c r="D3" t="s">
        <v>105</v>
      </c>
      <c r="E3" s="53">
        <v>4000000</v>
      </c>
    </row>
    <row r="4" spans="1:5" x14ac:dyDescent="0.45">
      <c r="A4" t="s">
        <v>171</v>
      </c>
      <c r="B4" t="s">
        <v>124</v>
      </c>
      <c r="D4" t="s">
        <v>96</v>
      </c>
      <c r="E4" s="53">
        <v>7000000</v>
      </c>
    </row>
    <row r="5" spans="1:5" x14ac:dyDescent="0.45">
      <c r="A5" t="s">
        <v>172</v>
      </c>
      <c r="B5" t="s">
        <v>125</v>
      </c>
      <c r="C5" t="s">
        <v>126</v>
      </c>
      <c r="D5" t="s">
        <v>102</v>
      </c>
      <c r="E5" s="53">
        <v>11000000</v>
      </c>
    </row>
    <row r="6" spans="1:5" x14ac:dyDescent="0.45">
      <c r="A6" t="s">
        <v>173</v>
      </c>
      <c r="B6" t="s">
        <v>127</v>
      </c>
      <c r="D6" t="s">
        <v>108</v>
      </c>
      <c r="E6" s="53">
        <v>6600000</v>
      </c>
    </row>
    <row r="7" spans="1:5" x14ac:dyDescent="0.45">
      <c r="A7" t="s">
        <v>174</v>
      </c>
      <c r="B7" t="s">
        <v>128</v>
      </c>
      <c r="E7" s="53"/>
    </row>
    <row r="8" spans="1:5" x14ac:dyDescent="0.45">
      <c r="A8" t="s">
        <v>175</v>
      </c>
      <c r="B8" t="s">
        <v>129</v>
      </c>
      <c r="D8" t="s">
        <v>105</v>
      </c>
      <c r="E8" s="53">
        <v>7200000</v>
      </c>
    </row>
    <row r="9" spans="1:5" x14ac:dyDescent="0.45">
      <c r="A9" t="s">
        <v>175</v>
      </c>
      <c r="B9" t="s">
        <v>130</v>
      </c>
      <c r="D9" t="s">
        <v>131</v>
      </c>
      <c r="E9" s="53"/>
    </row>
    <row r="10" spans="1:5" x14ac:dyDescent="0.45">
      <c r="A10" t="s">
        <v>176</v>
      </c>
      <c r="B10" t="s">
        <v>132</v>
      </c>
      <c r="D10" t="s">
        <v>76</v>
      </c>
      <c r="E10" s="53"/>
    </row>
    <row r="11" spans="1:5" x14ac:dyDescent="0.45">
      <c r="A11" t="s">
        <v>177</v>
      </c>
      <c r="B11" t="s">
        <v>133</v>
      </c>
      <c r="D11" t="s">
        <v>109</v>
      </c>
      <c r="E11" s="53"/>
    </row>
    <row r="12" spans="1:5" x14ac:dyDescent="0.45">
      <c r="A12" t="s">
        <v>178</v>
      </c>
      <c r="B12" t="s">
        <v>134</v>
      </c>
      <c r="D12" t="s">
        <v>42</v>
      </c>
      <c r="E12" s="53"/>
    </row>
    <row r="13" spans="1:5" x14ac:dyDescent="0.45">
      <c r="A13" t="s">
        <v>179</v>
      </c>
      <c r="B13" t="s">
        <v>135</v>
      </c>
      <c r="D13" t="s">
        <v>88</v>
      </c>
      <c r="E13" s="53"/>
    </row>
    <row r="14" spans="1:5" x14ac:dyDescent="0.45">
      <c r="A14" t="s">
        <v>180</v>
      </c>
      <c r="B14" t="s">
        <v>136</v>
      </c>
      <c r="D14" t="s">
        <v>103</v>
      </c>
      <c r="E14" s="53"/>
    </row>
    <row r="15" spans="1:5" x14ac:dyDescent="0.45">
      <c r="A15" t="s">
        <v>181</v>
      </c>
      <c r="B15" t="s">
        <v>137</v>
      </c>
      <c r="D15" t="s">
        <v>72</v>
      </c>
      <c r="E15" s="53"/>
    </row>
    <row r="16" spans="1:5" x14ac:dyDescent="0.45">
      <c r="A16" t="s">
        <v>182</v>
      </c>
      <c r="B16" t="s">
        <v>138</v>
      </c>
      <c r="D16" t="s">
        <v>110</v>
      </c>
      <c r="E16" s="53"/>
    </row>
    <row r="17" spans="1:5" x14ac:dyDescent="0.45">
      <c r="A17" t="s">
        <v>183</v>
      </c>
      <c r="B17" t="s">
        <v>139</v>
      </c>
      <c r="D17" t="s">
        <v>41</v>
      </c>
      <c r="E17" s="53"/>
    </row>
    <row r="18" spans="1:5" x14ac:dyDescent="0.45">
      <c r="A18" t="s">
        <v>183</v>
      </c>
      <c r="B18" t="s">
        <v>140</v>
      </c>
      <c r="D18" t="s">
        <v>67</v>
      </c>
      <c r="E18" s="53"/>
    </row>
    <row r="19" spans="1:5" x14ac:dyDescent="0.45">
      <c r="A19" t="s">
        <v>184</v>
      </c>
      <c r="B19" t="s">
        <v>141</v>
      </c>
      <c r="D19" t="s">
        <v>142</v>
      </c>
      <c r="E19" s="53"/>
    </row>
    <row r="20" spans="1:5" x14ac:dyDescent="0.45">
      <c r="A20" t="s">
        <v>185</v>
      </c>
      <c r="B20" t="s">
        <v>143</v>
      </c>
      <c r="E20" s="53"/>
    </row>
    <row r="21" spans="1:5" x14ac:dyDescent="0.45">
      <c r="A21" t="s">
        <v>186</v>
      </c>
      <c r="B21" t="s">
        <v>144</v>
      </c>
      <c r="D21" t="s">
        <v>69</v>
      </c>
      <c r="E21" s="53"/>
    </row>
    <row r="22" spans="1:5" x14ac:dyDescent="0.45">
      <c r="A22" t="s">
        <v>187</v>
      </c>
      <c r="B22" t="s">
        <v>145</v>
      </c>
      <c r="E22" s="53"/>
    </row>
    <row r="23" spans="1:5" x14ac:dyDescent="0.45">
      <c r="A23" t="s">
        <v>188</v>
      </c>
      <c r="B23" t="s">
        <v>116</v>
      </c>
      <c r="E23" s="53"/>
    </row>
    <row r="24" spans="1:5" x14ac:dyDescent="0.45">
      <c r="A24" t="s">
        <v>189</v>
      </c>
      <c r="B24" t="s">
        <v>146</v>
      </c>
      <c r="E24" s="53"/>
    </row>
    <row r="25" spans="1:5" x14ac:dyDescent="0.45">
      <c r="A25" t="s">
        <v>190</v>
      </c>
      <c r="B25" t="s">
        <v>147</v>
      </c>
      <c r="E25" s="53"/>
    </row>
    <row r="26" spans="1:5" x14ac:dyDescent="0.45">
      <c r="A26" t="s">
        <v>191</v>
      </c>
      <c r="B26" t="s">
        <v>148</v>
      </c>
      <c r="D26" t="s">
        <v>103</v>
      </c>
      <c r="E26" s="53"/>
    </row>
    <row r="27" spans="1:5" x14ac:dyDescent="0.45">
      <c r="A27" t="s">
        <v>192</v>
      </c>
      <c r="B27" t="s">
        <v>149</v>
      </c>
      <c r="E27" s="53"/>
    </row>
    <row r="28" spans="1:5" x14ac:dyDescent="0.45">
      <c r="A28" t="s">
        <v>193</v>
      </c>
      <c r="B28" t="s">
        <v>150</v>
      </c>
      <c r="E28" s="53"/>
    </row>
    <row r="29" spans="1:5" x14ac:dyDescent="0.45">
      <c r="A29" t="s">
        <v>194</v>
      </c>
      <c r="B29" t="s">
        <v>151</v>
      </c>
      <c r="E29" s="53"/>
    </row>
    <row r="30" spans="1:5" x14ac:dyDescent="0.45">
      <c r="A30" t="s">
        <v>195</v>
      </c>
      <c r="B30" t="s">
        <v>152</v>
      </c>
      <c r="E30" s="53"/>
    </row>
    <row r="31" spans="1:5" x14ac:dyDescent="0.45">
      <c r="A31" t="s">
        <v>196</v>
      </c>
      <c r="B31" t="s">
        <v>153</v>
      </c>
      <c r="D31" t="s">
        <v>70</v>
      </c>
      <c r="E31" s="53"/>
    </row>
    <row r="32" spans="1:5" x14ac:dyDescent="0.45">
      <c r="A32" t="s">
        <v>197</v>
      </c>
      <c r="B32" t="s">
        <v>154</v>
      </c>
      <c r="D32" t="s">
        <v>104</v>
      </c>
      <c r="E32" s="53"/>
    </row>
    <row r="33" spans="1:5" x14ac:dyDescent="0.45">
      <c r="A33" t="s">
        <v>198</v>
      </c>
      <c r="B33" t="s">
        <v>155</v>
      </c>
      <c r="D33" t="s">
        <v>89</v>
      </c>
      <c r="E33" s="53"/>
    </row>
    <row r="34" spans="1:5" x14ac:dyDescent="0.45">
      <c r="A34" t="s">
        <v>199</v>
      </c>
      <c r="B34" t="s">
        <v>156</v>
      </c>
      <c r="E34" s="53"/>
    </row>
    <row r="35" spans="1:5" x14ac:dyDescent="0.45">
      <c r="A35" t="s">
        <v>200</v>
      </c>
      <c r="B35" t="s">
        <v>114</v>
      </c>
      <c r="E35" s="53"/>
    </row>
    <row r="36" spans="1:5" x14ac:dyDescent="0.45">
      <c r="A36" t="s">
        <v>201</v>
      </c>
      <c r="B36" t="s">
        <v>157</v>
      </c>
      <c r="D36" t="s">
        <v>101</v>
      </c>
      <c r="E36" s="53"/>
    </row>
    <row r="37" spans="1:5" x14ac:dyDescent="0.45">
      <c r="A37" t="s">
        <v>202</v>
      </c>
      <c r="B37" t="s">
        <v>158</v>
      </c>
      <c r="D37" t="s">
        <v>115</v>
      </c>
      <c r="E37" s="53"/>
    </row>
    <row r="38" spans="1:5" x14ac:dyDescent="0.45">
      <c r="A38" t="s">
        <v>203</v>
      </c>
      <c r="B38" t="s">
        <v>159</v>
      </c>
      <c r="E38" s="53"/>
    </row>
    <row r="39" spans="1:5" x14ac:dyDescent="0.45">
      <c r="A39" t="s">
        <v>204</v>
      </c>
      <c r="B39" t="s">
        <v>160</v>
      </c>
      <c r="E39" s="53"/>
    </row>
    <row r="40" spans="1:5" x14ac:dyDescent="0.45">
      <c r="A40" t="s">
        <v>204</v>
      </c>
      <c r="B40" t="s">
        <v>161</v>
      </c>
      <c r="E40" s="53"/>
    </row>
    <row r="41" spans="1:5" x14ac:dyDescent="0.45">
      <c r="A41" t="s">
        <v>205</v>
      </c>
      <c r="B41" t="s">
        <v>162</v>
      </c>
      <c r="D41" t="s">
        <v>71</v>
      </c>
      <c r="E41" s="53"/>
    </row>
    <row r="42" spans="1:5" x14ac:dyDescent="0.45">
      <c r="A42" t="s">
        <v>206</v>
      </c>
      <c r="B42" t="s">
        <v>163</v>
      </c>
      <c r="E42" s="53"/>
    </row>
    <row r="43" spans="1:5" x14ac:dyDescent="0.45">
      <c r="A43" t="s">
        <v>206</v>
      </c>
      <c r="B43" t="s">
        <v>164</v>
      </c>
      <c r="D43" t="s">
        <v>76</v>
      </c>
      <c r="E43" s="53"/>
    </row>
    <row r="44" spans="1:5" x14ac:dyDescent="0.45">
      <c r="A44" t="s">
        <v>207</v>
      </c>
      <c r="B44" t="s">
        <v>165</v>
      </c>
      <c r="D44" t="s">
        <v>75</v>
      </c>
      <c r="E44" s="53"/>
    </row>
    <row r="45" spans="1:5" x14ac:dyDescent="0.45">
      <c r="A45" t="s">
        <v>208</v>
      </c>
      <c r="B45" t="s">
        <v>166</v>
      </c>
      <c r="D45" t="s">
        <v>101</v>
      </c>
      <c r="E45" s="53"/>
    </row>
    <row r="46" spans="1:5" x14ac:dyDescent="0.45">
      <c r="A46" t="s">
        <v>209</v>
      </c>
      <c r="B46" t="s">
        <v>167</v>
      </c>
      <c r="D46" t="s">
        <v>89</v>
      </c>
      <c r="E46" s="53"/>
    </row>
    <row r="47" spans="1:5" x14ac:dyDescent="0.45">
      <c r="A47" t="s">
        <v>210</v>
      </c>
      <c r="B47" t="s">
        <v>168</v>
      </c>
      <c r="E47" s="53"/>
    </row>
    <row r="48" spans="1:5" x14ac:dyDescent="0.45">
      <c r="A48" t="s">
        <v>211</v>
      </c>
      <c r="B48" t="s">
        <v>169</v>
      </c>
      <c r="E48" s="53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BDE65-B083-46B9-B382-8AE4ADB65E22}">
  <sheetPr codeName="Sheet1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7" tint="0.39997558519241921"/>
  </sheetPr>
  <dimension ref="A1:G67"/>
  <sheetViews>
    <sheetView workbookViewId="0">
      <selection activeCell="D14" sqref="D14"/>
    </sheetView>
  </sheetViews>
  <sheetFormatPr defaultRowHeight="14.25" x14ac:dyDescent="0.45"/>
  <cols>
    <col min="1" max="1" width="18.46484375" bestFit="1" customWidth="1"/>
    <col min="2" max="2" width="3.6640625" customWidth="1"/>
    <col min="3" max="4" width="20.33203125" bestFit="1" customWidth="1"/>
    <col min="5" max="5" width="19.86328125" bestFit="1" customWidth="1"/>
  </cols>
  <sheetData>
    <row r="1" spans="1:7" x14ac:dyDescent="0.45">
      <c r="A1" s="2" t="s">
        <v>0</v>
      </c>
      <c r="B1" s="24"/>
      <c r="C1" s="2" t="s">
        <v>4</v>
      </c>
      <c r="D1" s="2" t="s">
        <v>5</v>
      </c>
      <c r="E1" s="2" t="s">
        <v>6</v>
      </c>
      <c r="F1" s="23"/>
      <c r="G1" s="2" t="s">
        <v>26</v>
      </c>
    </row>
    <row r="2" spans="1:7" ht="15.75" x14ac:dyDescent="0.45">
      <c r="A2" s="11" t="str">
        <f>'Entry Form'!B12</f>
        <v>Sungjae Im</v>
      </c>
      <c r="B2" s="25"/>
      <c r="C2" s="11" t="str">
        <f>'Entry Form'!I12</f>
        <v>Denny McCarthy</v>
      </c>
      <c r="D2" s="11" t="str">
        <f>'Entry Form'!O12</f>
        <v>Greyson Sigg</v>
      </c>
      <c r="E2" s="11" t="str">
        <f>'Entry Form'!U12</f>
        <v>Zac Blair</v>
      </c>
      <c r="F2" s="23"/>
      <c r="G2" s="11" t="str">
        <f>C2</f>
        <v>Denny McCarthy</v>
      </c>
    </row>
    <row r="3" spans="1:7" ht="15.75" x14ac:dyDescent="0.45">
      <c r="A3" s="11" t="str">
        <f>'Entry Form'!B13</f>
        <v>Tom Kim</v>
      </c>
      <c r="B3" s="25"/>
      <c r="C3" s="11" t="str">
        <f>'Entry Form'!I13</f>
        <v>Emiliano Grillo</v>
      </c>
      <c r="D3" s="11" t="str">
        <f>'Entry Form'!O13</f>
        <v>Ryan Palmer</v>
      </c>
      <c r="E3" s="11" t="str">
        <f>'Entry Form'!U13</f>
        <v>Nick Taylor</v>
      </c>
      <c r="F3" s="23"/>
      <c r="G3" s="11" t="str">
        <f t="shared" ref="G3:G22" si="0">C3</f>
        <v>Emiliano Grillo</v>
      </c>
    </row>
    <row r="4" spans="1:7" ht="15.75" x14ac:dyDescent="0.45">
      <c r="A4" s="11" t="str">
        <f>'Entry Form'!B14</f>
        <v>Jordan Spieth</v>
      </c>
      <c r="B4" s="25"/>
      <c r="C4" s="11" t="str">
        <f>'Entry Form'!I14</f>
        <v>Matt Kuchar</v>
      </c>
      <c r="D4" s="11" t="str">
        <f>'Entry Form'!O14</f>
        <v>S.H. Kim</v>
      </c>
      <c r="E4" s="11" t="str">
        <f>'Entry Form'!U14</f>
        <v>MJ Daffue</v>
      </c>
      <c r="F4" s="23"/>
      <c r="G4" s="11" t="str">
        <f t="shared" si="0"/>
        <v>Matt Kuchar</v>
      </c>
    </row>
    <row r="5" spans="1:7" ht="15.75" x14ac:dyDescent="0.45">
      <c r="A5" s="11" t="str">
        <f>'Entry Form'!B15</f>
        <v>Brian Harman</v>
      </c>
      <c r="B5" s="25"/>
      <c r="C5" s="11" t="str">
        <f>'Entry Form'!I15</f>
        <v>Gary Woodland</v>
      </c>
      <c r="D5" s="11" t="str">
        <f>'Entry Form'!O15</f>
        <v>Troy Merritt</v>
      </c>
      <c r="E5" s="11" t="str">
        <f>'Entry Form'!U15</f>
        <v>Zach Johnson</v>
      </c>
      <c r="F5" s="23"/>
      <c r="G5" s="11" t="str">
        <f t="shared" si="0"/>
        <v>Gary Woodland</v>
      </c>
    </row>
    <row r="6" spans="1:7" ht="15.75" x14ac:dyDescent="0.45">
      <c r="A6" s="11" t="str">
        <f>'Entry Form'!B16</f>
        <v>Hideki Matsuyama</v>
      </c>
      <c r="B6" s="25"/>
      <c r="C6" s="11" t="str">
        <f>'Entry Form'!I16</f>
        <v>Christiaan Bezuidenhout</v>
      </c>
      <c r="D6" s="11" t="str">
        <f>'Entry Form'!O16</f>
        <v>David Lipsky</v>
      </c>
      <c r="E6" s="11" t="str">
        <f>'Entry Form'!U16</f>
        <v>Michael Thompson</v>
      </c>
      <c r="F6" s="23"/>
      <c r="G6" s="11" t="str">
        <f t="shared" si="0"/>
        <v>Christiaan Bezuidenhout</v>
      </c>
    </row>
    <row r="7" spans="1:7" ht="15.75" x14ac:dyDescent="0.45">
      <c r="A7" s="11" t="str">
        <f>'Entry Form'!B17</f>
        <v>Russell Henley</v>
      </c>
      <c r="B7" s="25"/>
      <c r="C7" s="11" t="str">
        <f>'Entry Form'!I17</f>
        <v>Kurt Kitayama</v>
      </c>
      <c r="D7" s="11" t="str">
        <f>'Entry Form'!O17</f>
        <v>Justin Suh</v>
      </c>
      <c r="E7" s="11" t="str">
        <f>'Entry Form'!U17</f>
        <v>Carl Yuan</v>
      </c>
      <c r="F7" s="23"/>
      <c r="G7" s="11" t="str">
        <f t="shared" si="0"/>
        <v>Kurt Kitayama</v>
      </c>
    </row>
    <row r="8" spans="1:7" ht="15.75" x14ac:dyDescent="0.45">
      <c r="A8" s="11" t="str">
        <f>'Entry Form'!B18</f>
        <v>Corey Conners</v>
      </c>
      <c r="B8" s="25"/>
      <c r="C8" s="11" t="str">
        <f>'Entry Form'!I18</f>
        <v>Mackenzie Hughes</v>
      </c>
      <c r="D8" s="11" t="str">
        <f>'Entry Form'!O18</f>
        <v>Ben Griffin</v>
      </c>
      <c r="E8" s="11" t="str">
        <f>'Entry Form'!U18</f>
        <v>Matti Schmid</v>
      </c>
      <c r="F8" s="23"/>
      <c r="G8" s="11" t="str">
        <f t="shared" si="0"/>
        <v>Mackenzie Hughes</v>
      </c>
    </row>
    <row r="9" spans="1:7" ht="15.75" x14ac:dyDescent="0.45">
      <c r="A9" s="11" t="str">
        <f>'Entry Form'!B19</f>
        <v>Tom Hoge</v>
      </c>
      <c r="B9" s="25"/>
      <c r="C9" s="11" t="str">
        <f>'Entry Form'!I19</f>
        <v>Alex Smalley</v>
      </c>
      <c r="D9" s="11" t="str">
        <f>'Entry Form'!O19</f>
        <v>Kevin Streelman</v>
      </c>
      <c r="E9" s="11" t="str">
        <f>'Entry Form'!U19</f>
        <v>Kazuki Higa</v>
      </c>
      <c r="F9" s="23"/>
      <c r="G9" s="11" t="str">
        <f t="shared" si="0"/>
        <v>Alex Smalley</v>
      </c>
    </row>
    <row r="10" spans="1:7" ht="15.75" x14ac:dyDescent="0.45">
      <c r="A10" s="11" t="str">
        <f>'Entry Form'!B20</f>
        <v>Keegan Bradley</v>
      </c>
      <c r="B10" s="25"/>
      <c r="C10" s="11" t="str">
        <f>'Entry Form'!I20</f>
        <v>Hayden Buckley</v>
      </c>
      <c r="D10" s="11" t="str">
        <f>'Entry Form'!O20</f>
        <v>Lucas Glover</v>
      </c>
      <c r="E10" s="11" t="str">
        <f>'Entry Form'!U20</f>
        <v>Keita Nakajima</v>
      </c>
      <c r="F10" s="23"/>
      <c r="G10" s="11" t="str">
        <f t="shared" si="0"/>
        <v>Hayden Buckley</v>
      </c>
    </row>
    <row r="11" spans="1:7" ht="15.75" x14ac:dyDescent="0.45">
      <c r="A11" s="11" t="str">
        <f>'Entry Form'!B21</f>
        <v>Billy Horschel</v>
      </c>
      <c r="B11" s="25"/>
      <c r="C11" s="11" t="str">
        <f>'Entry Form'!I21</f>
        <v>Webb Simpson</v>
      </c>
      <c r="D11" s="11" t="str">
        <f>'Entry Form'!O21</f>
        <v>Chez Reavie</v>
      </c>
      <c r="E11" s="11" t="str">
        <f>'Entry Form'!U21</f>
        <v>Matthias Schwab</v>
      </c>
      <c r="F11" s="23"/>
      <c r="G11" s="11" t="str">
        <f t="shared" si="0"/>
        <v>Webb Simpson</v>
      </c>
    </row>
    <row r="12" spans="1:7" ht="15.75" x14ac:dyDescent="0.45">
      <c r="A12" s="11" t="str">
        <f>'Entry Form'!B22</f>
        <v>Cam Davis</v>
      </c>
      <c r="B12" s="25"/>
      <c r="C12" s="11" t="str">
        <f>'Entry Form'!I22</f>
        <v>Chris Kirk</v>
      </c>
      <c r="D12" s="11" t="str">
        <f>'Entry Form'!O22</f>
        <v>Kevin Yu</v>
      </c>
      <c r="E12" s="11" t="str">
        <f>'Entry Form'!U22</f>
        <v>Ben Taylor</v>
      </c>
      <c r="F12" s="23"/>
      <c r="G12" s="11" t="str">
        <f t="shared" si="0"/>
        <v>Chris Kirk</v>
      </c>
    </row>
    <row r="13" spans="1:7" ht="15.75" x14ac:dyDescent="0.45">
      <c r="A13" s="11" t="str">
        <f>'Entry Form'!B23</f>
        <v>Keith Mitchell</v>
      </c>
      <c r="B13" s="25"/>
      <c r="C13" s="11" t="str">
        <f>'Entry Form'!I23</f>
        <v>Adam Svensson</v>
      </c>
      <c r="D13" s="11" t="str">
        <f>'Entry Form'!O23</f>
        <v>Mark Hubbard</v>
      </c>
      <c r="E13" s="11" t="str">
        <f>'Entry Form'!U23</f>
        <v>David Lingmerth</v>
      </c>
      <c r="F13" s="23"/>
      <c r="G13" s="11" t="str">
        <f t="shared" si="0"/>
        <v>Adam Svensson</v>
      </c>
    </row>
    <row r="14" spans="1:7" ht="15.75" x14ac:dyDescent="0.45">
      <c r="A14" s="11" t="str">
        <f>'Entry Form'!B24</f>
        <v>Taylor Montgomery</v>
      </c>
      <c r="B14" s="25"/>
      <c r="C14" s="11" t="str">
        <f>'Entry Form'!I24</f>
        <v>Will Gordon</v>
      </c>
      <c r="D14" s="11" t="str">
        <f>'Entry Form'!O24</f>
        <v>Adam Schenk</v>
      </c>
      <c r="E14" s="11" t="str">
        <f>'Entry Form'!U24</f>
        <v>Byeong Hun An</v>
      </c>
      <c r="F14" s="23"/>
      <c r="G14" s="11" t="str">
        <f t="shared" si="0"/>
        <v>Will Gordon</v>
      </c>
    </row>
    <row r="15" spans="1:7" ht="15.75" x14ac:dyDescent="0.45">
      <c r="A15" s="11" t="str">
        <f>'Entry Form'!B25</f>
        <v>Maverick McNealy</v>
      </c>
      <c r="B15" s="25"/>
      <c r="C15" s="11" t="str">
        <f>'Entry Form'!I25</f>
        <v>Nick Hardy</v>
      </c>
      <c r="D15" s="11" t="str">
        <f>'Entry Form'!O25</f>
        <v>Davis Thompson</v>
      </c>
      <c r="E15" s="11" t="str">
        <f>'Entry Form'!U25</f>
        <v>Chesson Hadley</v>
      </c>
      <c r="F15" s="23"/>
      <c r="G15" s="11" t="str">
        <f t="shared" si="0"/>
        <v>Nick Hardy</v>
      </c>
    </row>
    <row r="16" spans="1:7" ht="15.75" x14ac:dyDescent="0.45">
      <c r="A16" s="11" t="str">
        <f>'Entry Form'!B26</f>
        <v>K.H. Lee</v>
      </c>
      <c r="B16" s="25"/>
      <c r="C16" s="11" t="str">
        <f>'Entry Form'!I26</f>
        <v>Robby Shelton</v>
      </c>
      <c r="D16" s="11" t="str">
        <f>'Entry Form'!O26</f>
        <v>Ryan Armour</v>
      </c>
      <c r="E16" s="11" t="str">
        <f>'Entry Form'!U26</f>
        <v>Harry Higgs</v>
      </c>
      <c r="F16" s="23"/>
      <c r="G16" s="11" t="str">
        <f t="shared" si="0"/>
        <v>Robby Shelton</v>
      </c>
    </row>
    <row r="17" spans="1:7" ht="15.75" x14ac:dyDescent="0.5">
      <c r="A17" s="11" t="str">
        <f>'Entry Form'!B27</f>
        <v>Adam Scott</v>
      </c>
      <c r="B17" s="26"/>
      <c r="C17" s="11" t="str">
        <f>'Entry Form'!I27</f>
        <v>Brendan Steele</v>
      </c>
      <c r="D17" s="11" t="str">
        <f>'Entry Form'!O27</f>
        <v>Stewart Cink</v>
      </c>
      <c r="E17" s="11" t="str">
        <f>'Entry Form'!U27</f>
        <v>Brian Stuard</v>
      </c>
      <c r="F17" s="23"/>
      <c r="G17" s="11" t="str">
        <f t="shared" si="0"/>
        <v>Brendan Steele</v>
      </c>
    </row>
    <row r="18" spans="1:7" ht="15.75" x14ac:dyDescent="0.45">
      <c r="A18" s="11" t="str">
        <f>'Entry Form'!B28</f>
        <v>Si Woo Kim</v>
      </c>
      <c r="B18" s="27"/>
      <c r="C18" s="11" t="str">
        <f>'Entry Form'!I28</f>
        <v>Aaron Rai</v>
      </c>
      <c r="D18" s="11" t="str">
        <f>'Entry Form'!O28</f>
        <v>Scott Piercy</v>
      </c>
      <c r="E18" s="11" t="str">
        <f>'Entry Form'!U28</f>
        <v>Erik Barnes</v>
      </c>
      <c r="F18" s="23"/>
      <c r="G18" s="11" t="str">
        <f t="shared" si="0"/>
        <v>Aaron Rai</v>
      </c>
    </row>
    <row r="19" spans="1:7" ht="15.75" x14ac:dyDescent="0.45">
      <c r="A19" s="11" t="str">
        <f>'Entry Form'!B29</f>
        <v>Harris English</v>
      </c>
      <c r="B19" s="27"/>
      <c r="C19" s="11" t="str">
        <f>'Entry Form'!I29</f>
        <v>Brendon Todd</v>
      </c>
      <c r="D19" s="11" t="str">
        <f>'Entry Form'!O29</f>
        <v>Sam Ryder</v>
      </c>
      <c r="E19" s="11" t="str">
        <f>'Entry Form'!U29</f>
        <v>Austin Cook</v>
      </c>
      <c r="F19" s="23"/>
      <c r="G19" s="11" t="str">
        <f t="shared" si="0"/>
        <v>Brendon Todd</v>
      </c>
    </row>
    <row r="20" spans="1:7" ht="15.75" x14ac:dyDescent="0.45">
      <c r="A20" s="11" t="str">
        <f>'Entry Form'!B30</f>
        <v>J.J. Spaun</v>
      </c>
      <c r="B20" s="27"/>
      <c r="C20" s="11" t="str">
        <f>'Entry Form'!I30</f>
        <v>Stephan Jaeger</v>
      </c>
      <c r="D20" s="11" t="str">
        <f>'Entry Form'!O30</f>
        <v>Joseph Bramlett</v>
      </c>
      <c r="E20" s="11" t="str">
        <f>'Entry Form'!U30</f>
        <v>Cole Hammer</v>
      </c>
      <c r="F20" s="23"/>
      <c r="G20" s="11" t="str">
        <f t="shared" si="0"/>
        <v>Stephan Jaeger</v>
      </c>
    </row>
    <row r="21" spans="1:7" ht="15.75" x14ac:dyDescent="0.45">
      <c r="A21" s="11" t="str">
        <f>'Entry Form'!B31</f>
        <v>Andrew Putnam</v>
      </c>
      <c r="B21" s="27"/>
      <c r="C21" s="11" t="str">
        <f>'Entry Form'!I31</f>
        <v>Russell Knox</v>
      </c>
      <c r="D21" s="11" t="str">
        <f>'Entry Form'!O31</f>
        <v>Adam Long</v>
      </c>
      <c r="E21" s="11" t="str">
        <f>'Entry Form'!U31</f>
        <v>Yuto Katsuragawa</v>
      </c>
      <c r="F21" s="23"/>
      <c r="G21" s="11" t="str">
        <f t="shared" si="0"/>
        <v>Russell Knox</v>
      </c>
    </row>
    <row r="22" spans="1:7" ht="15.75" x14ac:dyDescent="0.45">
      <c r="A22" s="11" t="str">
        <f>'Entry Form'!B32</f>
        <v>J.T. Poston</v>
      </c>
      <c r="B22" s="27"/>
      <c r="C22" s="11" t="str">
        <f>'Entry Form'!I32</f>
        <v>Patton Kizzire</v>
      </c>
      <c r="D22" s="11" t="str">
        <f>'Entry Form'!O32</f>
        <v>Brandon Wu</v>
      </c>
      <c r="E22" s="11" t="str">
        <f>'Entry Form'!U32</f>
        <v>John Huh</v>
      </c>
      <c r="F22" s="23"/>
      <c r="G22" s="11" t="str">
        <f t="shared" si="0"/>
        <v>Patton Kizzire</v>
      </c>
    </row>
    <row r="23" spans="1:7" ht="15.75" x14ac:dyDescent="0.45">
      <c r="A23" s="23"/>
      <c r="B23" s="23"/>
      <c r="C23" s="23"/>
      <c r="D23" s="23"/>
      <c r="E23" s="23"/>
      <c r="F23" s="23"/>
      <c r="G23" s="11" t="str">
        <f>D2</f>
        <v>Greyson Sigg</v>
      </c>
    </row>
    <row r="24" spans="1:7" ht="15.75" x14ac:dyDescent="0.45">
      <c r="G24" s="11" t="str">
        <f t="shared" ref="G24:G43" si="1">D3</f>
        <v>Ryan Palmer</v>
      </c>
    </row>
    <row r="25" spans="1:7" ht="15.75" x14ac:dyDescent="0.45">
      <c r="G25" s="11" t="str">
        <f t="shared" si="1"/>
        <v>S.H. Kim</v>
      </c>
    </row>
    <row r="26" spans="1:7" ht="15.75" x14ac:dyDescent="0.45">
      <c r="G26" s="11" t="str">
        <f t="shared" si="1"/>
        <v>Troy Merritt</v>
      </c>
    </row>
    <row r="27" spans="1:7" ht="15.75" x14ac:dyDescent="0.45">
      <c r="G27" s="11" t="str">
        <f t="shared" si="1"/>
        <v>David Lipsky</v>
      </c>
    </row>
    <row r="28" spans="1:7" ht="15.75" x14ac:dyDescent="0.45">
      <c r="G28" s="11" t="str">
        <f t="shared" si="1"/>
        <v>Justin Suh</v>
      </c>
    </row>
    <row r="29" spans="1:7" ht="15.75" x14ac:dyDescent="0.45">
      <c r="G29" s="11" t="str">
        <f t="shared" si="1"/>
        <v>Ben Griffin</v>
      </c>
    </row>
    <row r="30" spans="1:7" ht="15.75" x14ac:dyDescent="0.45">
      <c r="G30" s="11" t="str">
        <f t="shared" si="1"/>
        <v>Kevin Streelman</v>
      </c>
    </row>
    <row r="31" spans="1:7" ht="15.75" x14ac:dyDescent="0.45">
      <c r="G31" s="11" t="str">
        <f t="shared" si="1"/>
        <v>Lucas Glover</v>
      </c>
    </row>
    <row r="32" spans="1:7" ht="15.75" x14ac:dyDescent="0.45">
      <c r="G32" s="11" t="str">
        <f t="shared" si="1"/>
        <v>Chez Reavie</v>
      </c>
    </row>
    <row r="33" spans="7:7" ht="15.75" x14ac:dyDescent="0.45">
      <c r="G33" s="11" t="str">
        <f t="shared" si="1"/>
        <v>Kevin Yu</v>
      </c>
    </row>
    <row r="34" spans="7:7" ht="15.75" x14ac:dyDescent="0.45">
      <c r="G34" s="11" t="str">
        <f t="shared" si="1"/>
        <v>Mark Hubbard</v>
      </c>
    </row>
    <row r="35" spans="7:7" ht="15.75" x14ac:dyDescent="0.45">
      <c r="G35" s="11" t="str">
        <f t="shared" si="1"/>
        <v>Adam Schenk</v>
      </c>
    </row>
    <row r="36" spans="7:7" ht="15.75" x14ac:dyDescent="0.45">
      <c r="G36" s="11" t="str">
        <f t="shared" si="1"/>
        <v>Davis Thompson</v>
      </c>
    </row>
    <row r="37" spans="7:7" ht="15.75" x14ac:dyDescent="0.45">
      <c r="G37" s="11" t="str">
        <f t="shared" si="1"/>
        <v>Ryan Armour</v>
      </c>
    </row>
    <row r="38" spans="7:7" ht="15.75" x14ac:dyDescent="0.45">
      <c r="G38" s="11" t="str">
        <f t="shared" si="1"/>
        <v>Stewart Cink</v>
      </c>
    </row>
    <row r="39" spans="7:7" ht="15.75" x14ac:dyDescent="0.45">
      <c r="G39" s="11" t="str">
        <f t="shared" si="1"/>
        <v>Scott Piercy</v>
      </c>
    </row>
    <row r="40" spans="7:7" ht="15.75" x14ac:dyDescent="0.45">
      <c r="G40" s="11" t="str">
        <f t="shared" si="1"/>
        <v>Sam Ryder</v>
      </c>
    </row>
    <row r="41" spans="7:7" ht="15.75" x14ac:dyDescent="0.45">
      <c r="G41" s="11" t="str">
        <f t="shared" si="1"/>
        <v>Joseph Bramlett</v>
      </c>
    </row>
    <row r="42" spans="7:7" ht="15.75" x14ac:dyDescent="0.45">
      <c r="G42" s="11" t="str">
        <f t="shared" si="1"/>
        <v>Adam Long</v>
      </c>
    </row>
    <row r="43" spans="7:7" ht="15.75" x14ac:dyDescent="0.45">
      <c r="G43" s="11" t="str">
        <f t="shared" si="1"/>
        <v>Brandon Wu</v>
      </c>
    </row>
    <row r="44" spans="7:7" ht="15.75" x14ac:dyDescent="0.45">
      <c r="G44" s="11" t="str">
        <f>E2</f>
        <v>Zac Blair</v>
      </c>
    </row>
    <row r="45" spans="7:7" ht="15.75" x14ac:dyDescent="0.45">
      <c r="G45" s="11" t="str">
        <f t="shared" ref="G45:G64" si="2">E3</f>
        <v>Nick Taylor</v>
      </c>
    </row>
    <row r="46" spans="7:7" ht="15.75" x14ac:dyDescent="0.45">
      <c r="G46" s="11" t="str">
        <f t="shared" si="2"/>
        <v>MJ Daffue</v>
      </c>
    </row>
    <row r="47" spans="7:7" ht="15.75" x14ac:dyDescent="0.45">
      <c r="G47" s="11" t="str">
        <f t="shared" si="2"/>
        <v>Zach Johnson</v>
      </c>
    </row>
    <row r="48" spans="7:7" ht="15.75" x14ac:dyDescent="0.45">
      <c r="G48" s="11" t="str">
        <f t="shared" si="2"/>
        <v>Michael Thompson</v>
      </c>
    </row>
    <row r="49" spans="7:7" ht="15.75" x14ac:dyDescent="0.45">
      <c r="G49" s="11" t="str">
        <f t="shared" si="2"/>
        <v>Carl Yuan</v>
      </c>
    </row>
    <row r="50" spans="7:7" ht="15.75" x14ac:dyDescent="0.45">
      <c r="G50" s="11" t="str">
        <f t="shared" si="2"/>
        <v>Matti Schmid</v>
      </c>
    </row>
    <row r="51" spans="7:7" ht="15.75" x14ac:dyDescent="0.45">
      <c r="G51" s="11" t="str">
        <f t="shared" si="2"/>
        <v>Kazuki Higa</v>
      </c>
    </row>
    <row r="52" spans="7:7" ht="15.75" x14ac:dyDescent="0.45">
      <c r="G52" s="11" t="str">
        <f t="shared" si="2"/>
        <v>Keita Nakajima</v>
      </c>
    </row>
    <row r="53" spans="7:7" ht="15.75" x14ac:dyDescent="0.45">
      <c r="G53" s="11" t="str">
        <f t="shared" si="2"/>
        <v>Matthias Schwab</v>
      </c>
    </row>
    <row r="54" spans="7:7" ht="15.75" x14ac:dyDescent="0.45">
      <c r="G54" s="11" t="str">
        <f t="shared" si="2"/>
        <v>Ben Taylor</v>
      </c>
    </row>
    <row r="55" spans="7:7" ht="15.75" x14ac:dyDescent="0.45">
      <c r="G55" s="11" t="str">
        <f t="shared" si="2"/>
        <v>David Lingmerth</v>
      </c>
    </row>
    <row r="56" spans="7:7" ht="15.75" x14ac:dyDescent="0.45">
      <c r="G56" s="11" t="str">
        <f t="shared" si="2"/>
        <v>Byeong Hun An</v>
      </c>
    </row>
    <row r="57" spans="7:7" ht="15.75" x14ac:dyDescent="0.45">
      <c r="G57" s="11" t="str">
        <f t="shared" si="2"/>
        <v>Chesson Hadley</v>
      </c>
    </row>
    <row r="58" spans="7:7" ht="15.75" x14ac:dyDescent="0.45">
      <c r="G58" s="11" t="str">
        <f>E16</f>
        <v>Harry Higgs</v>
      </c>
    </row>
    <row r="59" spans="7:7" ht="15.75" x14ac:dyDescent="0.45">
      <c r="G59" s="11" t="str">
        <f t="shared" si="2"/>
        <v>Brian Stuard</v>
      </c>
    </row>
    <row r="60" spans="7:7" ht="15.75" x14ac:dyDescent="0.45">
      <c r="G60" s="11" t="str">
        <f t="shared" si="2"/>
        <v>Erik Barnes</v>
      </c>
    </row>
    <row r="61" spans="7:7" ht="15.75" x14ac:dyDescent="0.45">
      <c r="G61" s="11" t="str">
        <f t="shared" si="2"/>
        <v>Austin Cook</v>
      </c>
    </row>
    <row r="62" spans="7:7" ht="15.75" x14ac:dyDescent="0.45">
      <c r="G62" s="11" t="str">
        <f t="shared" si="2"/>
        <v>Cole Hammer</v>
      </c>
    </row>
    <row r="63" spans="7:7" ht="15.75" x14ac:dyDescent="0.45">
      <c r="G63" s="11" t="str">
        <f t="shared" si="2"/>
        <v>Yuto Katsuragawa</v>
      </c>
    </row>
    <row r="64" spans="7:7" ht="15.75" x14ac:dyDescent="0.45">
      <c r="G64" s="11" t="str">
        <f t="shared" si="2"/>
        <v>John Huh</v>
      </c>
    </row>
    <row r="65" spans="5:7" ht="15.75" x14ac:dyDescent="0.45">
      <c r="F65" s="29" t="s">
        <v>29</v>
      </c>
      <c r="G65" s="11"/>
    </row>
    <row r="66" spans="5:7" ht="15.75" x14ac:dyDescent="0.45">
      <c r="E66" s="28" t="s">
        <v>28</v>
      </c>
      <c r="G66" s="11"/>
    </row>
    <row r="67" spans="5:7" ht="15.75" x14ac:dyDescent="0.45">
      <c r="G67" s="11"/>
    </row>
  </sheetData>
  <sortState xmlns:xlrd2="http://schemas.microsoft.com/office/spreadsheetml/2017/richdata2" ref="G2:G43">
    <sortCondition ref="G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62753D-97EE-4119-B9AF-F81F01D3F6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Rankings</vt:lpstr>
      <vt:lpstr>Entries</vt:lpstr>
      <vt:lpstr>Leaderboard</vt:lpstr>
      <vt:lpstr>-----&gt;</vt:lpstr>
      <vt:lpstr>Entry Form</vt:lpstr>
      <vt:lpstr>--Information--</vt:lpstr>
      <vt:lpstr>--Reference--&gt;</vt:lpstr>
      <vt:lpstr>Vegas Odds</vt:lpstr>
      <vt:lpstr>Current Tournament</vt:lpstr>
      <vt:lpstr>PGA Schedule</vt:lpstr>
      <vt:lpstr>Python_Leaderboard</vt:lpstr>
      <vt:lpstr>Golfer Name Sheet</vt:lpstr>
      <vt:lpstr>Col24Combined</vt:lpstr>
      <vt:lpstr>EntryCount</vt:lpstr>
      <vt:lpstr>EntryFee</vt:lpstr>
      <vt:lpstr>FinalScore</vt:lpstr>
      <vt:lpstr>GolferName</vt:lpstr>
      <vt:lpstr>PayoutCount</vt:lpstr>
      <vt:lpstr>PayoutTable</vt:lpstr>
      <vt:lpstr>PickCol1</vt:lpstr>
      <vt:lpstr>PickCol2</vt:lpstr>
      <vt:lpstr>PickCol3</vt:lpstr>
      <vt:lpstr>PickCol4</vt:lpstr>
      <vt:lpstr>PlayoffOption</vt:lpstr>
      <vt:lpstr>'Entry Form'!Print_Area</vt:lpstr>
      <vt:lpstr>Rankings!Print_Area</vt:lpstr>
      <vt:lpstr>RoundOverride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McCracken</dc:creator>
  <cp:lastModifiedBy>McCracken</cp:lastModifiedBy>
  <cp:lastPrinted>2023-01-16T13:50:05Z</cp:lastPrinted>
  <dcterms:created xsi:type="dcterms:W3CDTF">2018-07-12T22:01:08Z</dcterms:created>
  <dcterms:modified xsi:type="dcterms:W3CDTF">2023-01-16T13:58:58Z</dcterms:modified>
</cp:coreProperties>
</file>